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G:\Mój dysk\Studia\Podstawy Technologii komputerowych\"/>
    </mc:Choice>
  </mc:AlternateContent>
  <xr:revisionPtr revIDLastSave="0" documentId="8_{02603FA1-829E-43E5-83FD-D58B5E91DC4E}" xr6:coauthVersionLast="47" xr6:coauthVersionMax="47" xr10:uidLastSave="{00000000-0000-0000-0000-000000000000}"/>
  <bookViews>
    <workbookView xWindow="-110" yWindow="-110" windowWidth="38620" windowHeight="21100" xr2:uid="{C17FC052-7EED-9A43-81E2-576F72764959}"/>
  </bookViews>
  <sheets>
    <sheet name="Katalog" sheetId="1" r:id="rId1"/>
    <sheet name="Konfigura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 a="1"/>
  <c r="C70" i="1" s="1"/>
  <c r="C64" i="2"/>
  <c r="C63" i="2"/>
  <c r="C62" i="2"/>
  <c r="C61" i="2"/>
  <c r="C60" i="2"/>
  <c r="C59" i="2"/>
  <c r="C58" i="2"/>
  <c r="C56" i="2"/>
  <c r="C55" i="2"/>
  <c r="C54" i="2"/>
  <c r="C53" i="2"/>
  <c r="C52" i="2"/>
  <c r="C51" i="2"/>
  <c r="C38" i="2"/>
  <c r="C37" i="2"/>
  <c r="C36" i="2"/>
  <c r="C35" i="2"/>
  <c r="C34" i="2"/>
  <c r="C46" i="2"/>
  <c r="C45" i="2"/>
  <c r="C44" i="2"/>
  <c r="C43" i="2"/>
  <c r="C42" i="2"/>
  <c r="C41" i="2"/>
  <c r="C40" i="2"/>
  <c r="C29" i="2"/>
  <c r="C28" i="2"/>
  <c r="C27" i="2"/>
  <c r="C26" i="2"/>
  <c r="C25" i="2"/>
  <c r="C24" i="2"/>
  <c r="C22" i="2"/>
  <c r="C21" i="2"/>
  <c r="C20" i="2"/>
  <c r="C19" i="2"/>
  <c r="C18" i="2"/>
  <c r="C13" i="2"/>
  <c r="C12" i="2"/>
  <c r="C11" i="2"/>
  <c r="C9" i="2"/>
  <c r="C8" i="2"/>
  <c r="C7" i="2"/>
  <c r="C6" i="2"/>
  <c r="C5" i="2"/>
  <c r="I56" i="1" l="1"/>
  <c r="I59" i="1" s="1"/>
  <c r="C53" i="1"/>
  <c r="C56" i="1" s="1"/>
  <c r="U59" i="1"/>
  <c r="O56" i="1"/>
  <c r="I57" i="1" l="1"/>
  <c r="I58" i="1"/>
  <c r="U60" i="1"/>
  <c r="U61" i="1"/>
  <c r="U62" i="1"/>
  <c r="C54" i="1"/>
  <c r="C55" i="1"/>
  <c r="O57" i="1"/>
  <c r="O59" i="1"/>
  <c r="O5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<sst xmlns="http://schemas.openxmlformats.org/spreadsheetml/2006/main" count="225" uniqueCount="80">
  <si>
    <t>Crossover</t>
  </si>
  <si>
    <t>Sedan</t>
  </si>
  <si>
    <t>Kombi</t>
  </si>
  <si>
    <t>Poziom wyposażenia</t>
  </si>
  <si>
    <t>Core</t>
  </si>
  <si>
    <t>Plus</t>
  </si>
  <si>
    <t>Ultimate</t>
  </si>
  <si>
    <t>Napęd</t>
  </si>
  <si>
    <t>Kolor</t>
  </si>
  <si>
    <t>Black Stone</t>
  </si>
  <si>
    <t>Onyx Black</t>
  </si>
  <si>
    <t>Fusion Red</t>
  </si>
  <si>
    <t>Thunder Grey</t>
  </si>
  <si>
    <t>Fjord Blue</t>
  </si>
  <si>
    <t>Silver Dawn</t>
  </si>
  <si>
    <t>Crystal White</t>
  </si>
  <si>
    <t>Sage Green</t>
  </si>
  <si>
    <t>Koła</t>
  </si>
  <si>
    <t xml:space="preserve">20″ Black Diamond Cut </t>
  </si>
  <si>
    <t>Tapicerka</t>
  </si>
  <si>
    <t>Tapicerka tekstylna</t>
  </si>
  <si>
    <t>Tapicerka Microtech</t>
  </si>
  <si>
    <t>Dodatkowe pakiety</t>
  </si>
  <si>
    <t>Climate</t>
  </si>
  <si>
    <t>Car Protection Package</t>
  </si>
  <si>
    <t>Przyciemniane szyby tylne</t>
  </si>
  <si>
    <t>SUV</t>
  </si>
  <si>
    <t>Volvo XC60</t>
  </si>
  <si>
    <t>Essential</t>
  </si>
  <si>
    <t>Podstawowy</t>
  </si>
  <si>
    <t>Plug-In Hybrid</t>
  </si>
  <si>
    <t>18″  Black Diamond Cut</t>
  </si>
  <si>
    <t xml:space="preserve">19″ Black Diamond Cut </t>
  </si>
  <si>
    <t>Tapicerka tekstylna czarna</t>
  </si>
  <si>
    <t>Tapicerka tekstylna blond</t>
  </si>
  <si>
    <t>Tapicerka skórzana czarna</t>
  </si>
  <si>
    <t>Tapicerka skórzana blond</t>
  </si>
  <si>
    <t>Driver assist package</t>
  </si>
  <si>
    <t>Park assist package</t>
  </si>
  <si>
    <t>Travel Package</t>
  </si>
  <si>
    <t>Lightning Package</t>
  </si>
  <si>
    <t>17″  Black Diamond Cut</t>
  </si>
  <si>
    <t xml:space="preserve">18″ Black Diamond Cut </t>
  </si>
  <si>
    <t>Volvo S60</t>
  </si>
  <si>
    <t>Panoramiczne okno dachowe</t>
  </si>
  <si>
    <t>Tapicerka skórzana nappa czarna</t>
  </si>
  <si>
    <t>Tapicerka skórzana wentylowana</t>
  </si>
  <si>
    <t>Volvo V60</t>
  </si>
  <si>
    <t>Volvo V60 Cross Country</t>
  </si>
  <si>
    <t xml:space="preserve">Łączna suma: </t>
  </si>
  <si>
    <t>W tym VAT:</t>
  </si>
  <si>
    <t>Cena podstawowa:</t>
  </si>
  <si>
    <t>Łączna suma:</t>
  </si>
  <si>
    <t>Volvo C40 Recharge</t>
  </si>
  <si>
    <t>Volvo c40</t>
  </si>
  <si>
    <t>Volvo xc60</t>
  </si>
  <si>
    <t>Volvo V60 / Volvo V60 Cross Country</t>
  </si>
  <si>
    <t>Volvo V60 / V60 Cross Country</t>
  </si>
  <si>
    <t>Wersja</t>
  </si>
  <si>
    <t>Volvo Gdańsk (Rabat 1,4%)</t>
  </si>
  <si>
    <t>Volvo Sopot (Rabat 1,8%)</t>
  </si>
  <si>
    <t>Volvo Toruń (Rabat 3%)</t>
  </si>
  <si>
    <t>Volvo Gdynia (Rabat 1,2%)</t>
  </si>
  <si>
    <t>Volvo Warszawa (Rabat 0,8%)</t>
  </si>
  <si>
    <t>Volvo Białystok (Rabat 2,6%)</t>
  </si>
  <si>
    <t>Cena z Rabatem:</t>
  </si>
  <si>
    <t>Cena z Rabatem</t>
  </si>
  <si>
    <t>Rabat</t>
  </si>
  <si>
    <t>Rabat:</t>
  </si>
  <si>
    <t>Asystent 1</t>
  </si>
  <si>
    <t>Asystent 2</t>
  </si>
  <si>
    <t>Asystent 3</t>
  </si>
  <si>
    <t>Asystent 4</t>
  </si>
  <si>
    <t>Asystent 5</t>
  </si>
  <si>
    <t>Preferencja samochodu</t>
  </si>
  <si>
    <t>Volvo s60</t>
  </si>
  <si>
    <t>Tapicerka Connect czarna</t>
  </si>
  <si>
    <t>Tapicerka Connect błękit</t>
  </si>
  <si>
    <t>Tapicerka wełniana</t>
  </si>
  <si>
    <t>Crystal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</si>
</sst>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#,##0.00\ &quot;zł&quot;"/>
  </numFmts>
  <fonts count="9" x14ac:knownFonts="1">
    <font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2"/>
      <color rgb="FF000000"/>
      <name val="Calibr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2C2526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530201"/>
        <bgColor indexed="64"/>
      </patternFill>
    </fill>
    <fill>
      <patternFill patternType="solid">
        <fgColor rgb="FF4F5254"/>
        <bgColor indexed="64"/>
      </patternFill>
    </fill>
    <fill>
      <patternFill patternType="solid">
        <fgColor rgb="FF203769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5BDA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4" fontId="0" fillId="0" borderId="0" xfId="1" applyFont="1"/>
    <xf numFmtId="0" fontId="0" fillId="0" borderId="0" xfId="1" applyNumberFormat="1" applyFont="1"/>
    <xf numFmtId="44" fontId="2" fillId="0" borderId="1" xfId="1" applyFont="1" applyBorder="1"/>
    <xf numFmtId="164" fontId="2" fillId="0" borderId="1" xfId="0" applyNumberFormat="1" applyFont="1" applyBorder="1"/>
    <xf numFmtId="44" fontId="2" fillId="9" borderId="1" xfId="1" applyFont="1" applyFill="1" applyBorder="1"/>
    <xf numFmtId="44" fontId="2" fillId="10" borderId="1" xfId="1" applyFont="1" applyFill="1" applyBorder="1"/>
    <xf numFmtId="44" fontId="2" fillId="9" borderId="1" xfId="1" applyFont="1" applyFill="1" applyBorder="1" applyAlignment="1">
      <alignment horizontal="center" vertical="center"/>
    </xf>
    <xf numFmtId="44" fontId="2" fillId="10" borderId="1" xfId="1" applyFont="1" applyFill="1" applyBorder="1" applyAlignment="1">
      <alignment horizontal="center" vertical="center"/>
    </xf>
    <xf numFmtId="44" fontId="2" fillId="11" borderId="1" xfId="1" applyFont="1" applyFill="1" applyBorder="1"/>
    <xf numFmtId="44" fontId="2" fillId="11" borderId="1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right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colors>
    <mruColors>
      <color rgb="FFB5BDA5"/>
      <color rgb="FFAAAAAA"/>
      <color rgb="FF203769"/>
      <color rgb="FF4F5254"/>
      <color rgb="FF530201"/>
      <color rgb="FF3A3A3A"/>
      <color rgb="FF2C25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Konfigurator!$B$34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firstButton="1" fmlaLink="Konfigurator!$B$35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Konfigurator!$B$36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fmlaLink="Konfigurator!$B$37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fmlaLink="Konfigurator!$B$38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CheckBox" fmlaLink="Konfigurator!$B$40" lockText="1" noThreeD="1"/>
</file>

<file path=xl/ctrlProps/ctrlProp27.xml><?xml version="1.0" encoding="utf-8"?>
<formControlPr xmlns="http://schemas.microsoft.com/office/spreadsheetml/2009/9/main" objectType="CheckBox" fmlaLink="Konfigurator!$B$41" lockText="1" noThreeD="1"/>
</file>

<file path=xl/ctrlProps/ctrlProp28.xml><?xml version="1.0" encoding="utf-8"?>
<formControlPr xmlns="http://schemas.microsoft.com/office/spreadsheetml/2009/9/main" objectType="CheckBox" fmlaLink="Konfigurator!$B$42" lockText="1" noThreeD="1"/>
</file>

<file path=xl/ctrlProps/ctrlProp29.xml><?xml version="1.0" encoding="utf-8"?>
<formControlPr xmlns="http://schemas.microsoft.com/office/spreadsheetml/2009/9/main" objectType="CheckBox" fmlaLink="Konfigurator!$B$43" lockText="1" noThreeD="1"/>
</file>

<file path=xl/ctrlProps/ctrlProp30.xml><?xml version="1.0" encoding="utf-8"?>
<formControlPr xmlns="http://schemas.microsoft.com/office/spreadsheetml/2009/9/main" objectType="CheckBox" fmlaLink="Konfigurator!$B$44" lockText="1" noThreeD="1"/>
</file>

<file path=xl/ctrlProps/ctrlProp31.xml><?xml version="1.0" encoding="utf-8"?>
<formControlPr xmlns="http://schemas.microsoft.com/office/spreadsheetml/2009/9/main" objectType="CheckBox" fmlaLink="Konfigurator!$B$45" lockText="1" noThreeD="1"/>
</file>

<file path=xl/ctrlProps/ctrlProp32.xml><?xml version="1.0" encoding="utf-8"?>
<formControlPr xmlns="http://schemas.microsoft.com/office/spreadsheetml/2009/9/main" objectType="CheckBox" fmlaLink="Konfigurator!$B$46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Konfigurator!$B$18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Konfigurator!$B$19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firstButton="1" fmlaLink="Konfigurator!$B$20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firstButton="1" fmlaLink="Konfigurator!$B$21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Radio" firstButton="1" fmlaLink="Konfigurator!$B$22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CheckBox" fmlaLink="Konfigurator!$B$24" lockText="1" noThreeD="1"/>
</file>

<file path=xl/ctrlProps/ctrlProp59.xml><?xml version="1.0" encoding="utf-8"?>
<formControlPr xmlns="http://schemas.microsoft.com/office/spreadsheetml/2009/9/main" objectType="CheckBox" fmlaLink="Konfigurator!$B$25" lockText="1" noThreeD="1"/>
</file>

<file path=xl/ctrlProps/ctrlProp60.xml><?xml version="1.0" encoding="utf-8"?>
<formControlPr xmlns="http://schemas.microsoft.com/office/spreadsheetml/2009/9/main" objectType="CheckBox" fmlaLink="Konfigurator!$B$26" lockText="1" noThreeD="1"/>
</file>

<file path=xl/ctrlProps/ctrlProp61.xml><?xml version="1.0" encoding="utf-8"?>
<formControlPr xmlns="http://schemas.microsoft.com/office/spreadsheetml/2009/9/main" objectType="CheckBox" fmlaLink="Konfigurator!$B$27" lockText="1" noThreeD="1"/>
</file>

<file path=xl/ctrlProps/ctrlProp62.xml><?xml version="1.0" encoding="utf-8"?>
<formControlPr xmlns="http://schemas.microsoft.com/office/spreadsheetml/2009/9/main" objectType="CheckBox" fmlaLink="Konfigurator!$B$28" lockText="1" noThreeD="1"/>
</file>

<file path=xl/ctrlProps/ctrlProp63.xml><?xml version="1.0" encoding="utf-8"?>
<formControlPr xmlns="http://schemas.microsoft.com/office/spreadsheetml/2009/9/main" objectType="CheckBox" fmlaLink="Konfigurator!$B$29" lockText="1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Radio" firstButton="1" fmlaLink="Konfigurator!$B$5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Konfigurator!$B$6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Radio" firstButton="1" fmlaLink="Konfigurator!$B$7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Radio" firstButton="1" fmlaLink="Konfigurator!$B$8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Radio" firstButton="1" fmlaLink="Konfigurator!$B$9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CheckBox" fmlaLink="Konfigurator!$B$11" lockText="1" noThreeD="1"/>
</file>

<file path=xl/ctrlProps/ctrlProp91.xml><?xml version="1.0" encoding="utf-8"?>
<formControlPr xmlns="http://schemas.microsoft.com/office/spreadsheetml/2009/9/main" objectType="CheckBox" fmlaLink="Konfigurator!$B$12" lockText="1" noThreeD="1"/>
</file>

<file path=xl/ctrlProps/ctrlProp92.xml><?xml version="1.0" encoding="utf-8"?>
<formControlPr xmlns="http://schemas.microsoft.com/office/spreadsheetml/2009/9/main" objectType="CheckBox" fmlaLink="Konfigurator!$B$13" lockText="1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firstButton="1" fmlaLink="Konfigurator!$B$51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Radio" firstButton="1" fmlaLink="Konfigurator!$B$52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Radio" firstButton="1" fmlaLink="Konfigurator!$B$53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Radio" firstButton="1" fmlaLink="Konfigurator!$B$54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Radio" firstButton="1" fmlaLink="Konfigurator!$B$55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firstButton="1" fmlaLink="Konfigurator!$B$56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CheckBox" fmlaLink="Konfigurator!$B$58" lockText="1" noThreeD="1"/>
</file>

<file path=xl/ctrlProps/ctrlProp124.xml><?xml version="1.0" encoding="utf-8"?>
<formControlPr xmlns="http://schemas.microsoft.com/office/spreadsheetml/2009/9/main" objectType="CheckBox" fmlaLink="Konfigurator!$B$59" lockText="1" noThreeD="1"/>
</file>

<file path=xl/ctrlProps/ctrlProp125.xml><?xml version="1.0" encoding="utf-8"?>
<formControlPr xmlns="http://schemas.microsoft.com/office/spreadsheetml/2009/9/main" objectType="CheckBox" fmlaLink="Konfigurator!$B$60" lockText="1" noThreeD="1"/>
</file>

<file path=xl/ctrlProps/ctrlProp126.xml><?xml version="1.0" encoding="utf-8"?>
<formControlPr xmlns="http://schemas.microsoft.com/office/spreadsheetml/2009/9/main" objectType="CheckBox" fmlaLink="Konfigurator!$B$61" lockText="1" noThreeD="1"/>
</file>

<file path=xl/ctrlProps/ctrlProp127.xml><?xml version="1.0" encoding="utf-8"?>
<formControlPr xmlns="http://schemas.microsoft.com/office/spreadsheetml/2009/9/main" objectType="CheckBox" fmlaLink="Konfigurator!$B$62" lockText="1" noThreeD="1"/>
</file>

<file path=xl/ctrlProps/ctrlProp128.xml><?xml version="1.0" encoding="utf-8"?>
<formControlPr xmlns="http://schemas.microsoft.com/office/spreadsheetml/2009/9/main" objectType="CheckBox" fmlaLink="Konfigurator!$B$63" lockText="1" noThreeD="1"/>
</file>

<file path=xl/ctrlProps/ctrlProp129.xml><?xml version="1.0" encoding="utf-8"?>
<formControlPr xmlns="http://schemas.microsoft.com/office/spreadsheetml/2009/9/main" objectType="CheckBox" fmlaLink="Konfigurator!$B$64" lockText="1" noThreeD="1"/>
</file>

<file path=xl/ctrlProps/ctrlProp130.xml><?xml version="1.0" encoding="utf-8"?>
<formControlPr xmlns="http://schemas.microsoft.com/office/spreadsheetml/2009/9/main" objectType="Drop" dropStyle="combo" dx="31" fmlaLink="Konfigurator!$H$6" fmlaRange="Konfigurator!$G$6:$G$11" noThreeD="1" sel="0" val="0"/>
</file>

<file path=xl/ctrlProps/ctrlProp131.xml><?xml version="1.0" encoding="utf-8"?>
<formControlPr xmlns="http://schemas.microsoft.com/office/spreadsheetml/2009/9/main" objectType="Drop" dropStyle="combo" dx="31" fmlaLink="Konfigurator!$H$6" fmlaRange="Konfigurator!$G$6:$G$11" noThreeD="1" sel="0" val="0"/>
</file>

<file path=xl/ctrlProps/ctrlProp132.xml><?xml version="1.0" encoding="utf-8"?>
<formControlPr xmlns="http://schemas.microsoft.com/office/spreadsheetml/2009/9/main" objectType="Drop" dropStyle="combo" dx="31" fmlaLink="Konfigurator!$H$6" fmlaRange="Konfigurator!$G$6:$G$11" noThreeD="1" sel="0" val="0"/>
</file>

<file path=xl/ctrlProps/ctrlProp133.xml><?xml version="1.0" encoding="utf-8"?>
<formControlPr xmlns="http://schemas.microsoft.com/office/spreadsheetml/2009/9/main" objectType="Drop" dropStyle="combo" dx="31" fmlaLink="Konfigurator!$H$6" fmlaRange="Konfigurator!$G$6:$G$11" noThreeD="1" sel="0" val="0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Radio" firstButton="1" fmlaLink="Konfigurator!$I$18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4884</xdr:colOff>
      <xdr:row>2</xdr:row>
      <xdr:rowOff>71805</xdr:rowOff>
    </xdr:from>
    <xdr:to>
      <xdr:col>3</xdr:col>
      <xdr:colOff>683846</xdr:colOff>
      <xdr:row>14</xdr:row>
      <xdr:rowOff>57741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84" y="565151"/>
          <a:ext cx="3902808" cy="2330552"/>
        </a:xfrm>
        <a:prstGeom prst="rect">
          <a:avLst/>
        </a:prstGeom>
        <a:effectLst>
          <a:softEdge rad="190500"/>
        </a:effectLst>
      </xdr:spPr>
    </xdr:pic>
    <xdr:clientData/>
  </xdr:twoCellAnchor>
  <xdr:twoCellAnchor editAs="oneCell">
    <xdr:from>
      <xdr:col>5</xdr:col>
      <xdr:colOff>242036</xdr:colOff>
      <xdr:row>2</xdr:row>
      <xdr:rowOff>51752</xdr:rowOff>
    </xdr:from>
    <xdr:to>
      <xdr:col>9</xdr:col>
      <xdr:colOff>206237</xdr:colOff>
      <xdr:row>14</xdr:row>
      <xdr:rowOff>13252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12436" y="547052"/>
          <a:ext cx="3920251" cy="2323700"/>
        </a:xfrm>
        <a:prstGeom prst="rect">
          <a:avLst/>
        </a:prstGeom>
        <a:effectLst>
          <a:softEdge rad="190500"/>
        </a:effectLst>
      </xdr:spPr>
    </xdr:pic>
    <xdr:clientData/>
  </xdr:twoCellAnchor>
  <xdr:twoCellAnchor editAs="oneCell">
    <xdr:from>
      <xdr:col>11</xdr:col>
      <xdr:colOff>306741</xdr:colOff>
      <xdr:row>2</xdr:row>
      <xdr:rowOff>6994</xdr:rowOff>
    </xdr:from>
    <xdr:to>
      <xdr:col>15</xdr:col>
      <xdr:colOff>83122</xdr:colOff>
      <xdr:row>13</xdr:row>
      <xdr:rowOff>163445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76241" y="502294"/>
          <a:ext cx="3884831" cy="2321801"/>
        </a:xfrm>
        <a:prstGeom prst="rect">
          <a:avLst/>
        </a:prstGeom>
        <a:effectLst>
          <a:softEdge rad="190500"/>
        </a:effectLst>
      </xdr:spPr>
    </xdr:pic>
    <xdr:clientData/>
  </xdr:twoCellAnchor>
  <xdr:twoCellAnchor editAs="oneCell">
    <xdr:from>
      <xdr:col>17</xdr:col>
      <xdr:colOff>309585</xdr:colOff>
      <xdr:row>1</xdr:row>
      <xdr:rowOff>296333</xdr:rowOff>
    </xdr:from>
    <xdr:to>
      <xdr:col>21</xdr:col>
      <xdr:colOff>63678</xdr:colOff>
      <xdr:row>13</xdr:row>
      <xdr:rowOff>152585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638485" y="493183"/>
          <a:ext cx="3900643" cy="2320052"/>
        </a:xfrm>
        <a:prstGeom prst="rect">
          <a:avLst/>
        </a:prstGeom>
        <a:effectLst>
          <a:softEdge rad="190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1231900</xdr:colOff>
          <xdr:row>16</xdr:row>
          <xdr:rowOff>177800</xdr:rowOff>
        </xdr:from>
        <xdr:to>
          <xdr:col>15</xdr:col>
          <xdr:colOff>38100</xdr:colOff>
          <xdr:row>20</xdr:row>
          <xdr:rowOff>38100</xdr:rowOff>
        </xdr:to>
        <xdr:sp macro="" textlink="">
          <xdr:nvSpPr>
            <xdr:cNvPr id="1098" name="Group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Poziom wyposażenia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1250950</xdr:colOff>
          <xdr:row>20</xdr:row>
          <xdr:rowOff>184150</xdr:rowOff>
        </xdr:from>
        <xdr:to>
          <xdr:col>15</xdr:col>
          <xdr:colOff>25400</xdr:colOff>
          <xdr:row>24</xdr:row>
          <xdr:rowOff>127000</xdr:rowOff>
        </xdr:to>
        <xdr:sp macro="" textlink="">
          <xdr:nvSpPr>
            <xdr:cNvPr id="1099" name="Group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Napęd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190500</xdr:rowOff>
        </xdr:from>
        <xdr:to>
          <xdr:col>13</xdr:col>
          <xdr:colOff>101600</xdr:colOff>
          <xdr:row>18</xdr:row>
          <xdr:rowOff>190500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6350</xdr:rowOff>
        </xdr:from>
        <xdr:to>
          <xdr:col>13</xdr:col>
          <xdr:colOff>190500</xdr:colOff>
          <xdr:row>20</xdr:row>
          <xdr:rowOff>25400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21</xdr:row>
          <xdr:rowOff>190500</xdr:rowOff>
        </xdr:from>
        <xdr:to>
          <xdr:col>13</xdr:col>
          <xdr:colOff>692150</xdr:colOff>
          <xdr:row>23</xdr:row>
          <xdr:rowOff>6350</xdr:rowOff>
        </xdr:to>
        <xdr:sp macro="" textlink="">
          <xdr:nvSpPr>
            <xdr:cNvPr id="1104" name="Option 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23</xdr:row>
          <xdr:rowOff>0</xdr:rowOff>
        </xdr:from>
        <xdr:to>
          <xdr:col>13</xdr:col>
          <xdr:colOff>692150</xdr:colOff>
          <xdr:row>24</xdr:row>
          <xdr:rowOff>12700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1250950</xdr:colOff>
          <xdr:row>25</xdr:row>
          <xdr:rowOff>12700</xdr:rowOff>
        </xdr:from>
        <xdr:to>
          <xdr:col>15</xdr:col>
          <xdr:colOff>25400</xdr:colOff>
          <xdr:row>34</xdr:row>
          <xdr:rowOff>152400</xdr:rowOff>
        </xdr:to>
        <xdr:sp macro="" textlink="">
          <xdr:nvSpPr>
            <xdr:cNvPr id="1106" name="Group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1917700</xdr:colOff>
          <xdr:row>25</xdr:row>
          <xdr:rowOff>196850</xdr:rowOff>
        </xdr:from>
        <xdr:to>
          <xdr:col>14</xdr:col>
          <xdr:colOff>679450</xdr:colOff>
          <xdr:row>27</xdr:row>
          <xdr:rowOff>25400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1905000</xdr:colOff>
          <xdr:row>26</xdr:row>
          <xdr:rowOff>196850</xdr:rowOff>
        </xdr:from>
        <xdr:to>
          <xdr:col>14</xdr:col>
          <xdr:colOff>673100</xdr:colOff>
          <xdr:row>28</xdr:row>
          <xdr:rowOff>6350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1917700</xdr:colOff>
          <xdr:row>27</xdr:row>
          <xdr:rowOff>196850</xdr:rowOff>
        </xdr:from>
        <xdr:to>
          <xdr:col>14</xdr:col>
          <xdr:colOff>679450</xdr:colOff>
          <xdr:row>29</xdr:row>
          <xdr:rowOff>25400</xdr:rowOff>
        </xdr:to>
        <xdr:sp macro="" textlink="">
          <xdr:nvSpPr>
            <xdr:cNvPr id="1109" name="Option 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1917700</xdr:colOff>
          <xdr:row>29</xdr:row>
          <xdr:rowOff>0</xdr:rowOff>
        </xdr:from>
        <xdr:to>
          <xdr:col>14</xdr:col>
          <xdr:colOff>679450</xdr:colOff>
          <xdr:row>30</xdr:row>
          <xdr:rowOff>25400</xdr:rowOff>
        </xdr:to>
        <xdr:sp macro="" textlink="">
          <xdr:nvSpPr>
            <xdr:cNvPr id="1110" name="Option 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1930400</xdr:colOff>
          <xdr:row>29</xdr:row>
          <xdr:rowOff>184150</xdr:rowOff>
        </xdr:from>
        <xdr:to>
          <xdr:col>14</xdr:col>
          <xdr:colOff>685800</xdr:colOff>
          <xdr:row>31</xdr:row>
          <xdr:rowOff>6350</xdr:rowOff>
        </xdr:to>
        <xdr:sp macro="" textlink="">
          <xdr:nvSpPr>
            <xdr:cNvPr id="1111" name="Option 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1930400</xdr:colOff>
          <xdr:row>31</xdr:row>
          <xdr:rowOff>0</xdr:rowOff>
        </xdr:from>
        <xdr:to>
          <xdr:col>14</xdr:col>
          <xdr:colOff>685800</xdr:colOff>
          <xdr:row>32</xdr:row>
          <xdr:rowOff>12700</xdr:rowOff>
        </xdr:to>
        <xdr:sp macro="" textlink="">
          <xdr:nvSpPr>
            <xdr:cNvPr id="1112" name="Option 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1930400</xdr:colOff>
          <xdr:row>31</xdr:row>
          <xdr:rowOff>190500</xdr:rowOff>
        </xdr:from>
        <xdr:to>
          <xdr:col>14</xdr:col>
          <xdr:colOff>692150</xdr:colOff>
          <xdr:row>33</xdr:row>
          <xdr:rowOff>6350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1930400</xdr:colOff>
          <xdr:row>32</xdr:row>
          <xdr:rowOff>184150</xdr:rowOff>
        </xdr:from>
        <xdr:to>
          <xdr:col>14</xdr:col>
          <xdr:colOff>692150</xdr:colOff>
          <xdr:row>34</xdr:row>
          <xdr:rowOff>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15</xdr:col>
          <xdr:colOff>25400</xdr:colOff>
          <xdr:row>39</xdr:row>
          <xdr:rowOff>107950</xdr:rowOff>
        </xdr:to>
        <xdr:sp macro="" textlink="">
          <xdr:nvSpPr>
            <xdr:cNvPr id="1116" name="Group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Koła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35</xdr:row>
          <xdr:rowOff>190500</xdr:rowOff>
        </xdr:from>
        <xdr:to>
          <xdr:col>13</xdr:col>
          <xdr:colOff>698500</xdr:colOff>
          <xdr:row>37</xdr:row>
          <xdr:rowOff>12700</xdr:rowOff>
        </xdr:to>
        <xdr:sp macro="" textlink="">
          <xdr:nvSpPr>
            <xdr:cNvPr id="1117" name="Option 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37</xdr:row>
          <xdr:rowOff>0</xdr:rowOff>
        </xdr:from>
        <xdr:to>
          <xdr:col>13</xdr:col>
          <xdr:colOff>698500</xdr:colOff>
          <xdr:row>38</xdr:row>
          <xdr:rowOff>12700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37</xdr:row>
          <xdr:rowOff>196850</xdr:rowOff>
        </xdr:from>
        <xdr:to>
          <xdr:col>13</xdr:col>
          <xdr:colOff>692150</xdr:colOff>
          <xdr:row>39</xdr:row>
          <xdr:rowOff>6350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6350</xdr:colOff>
          <xdr:row>40</xdr:row>
          <xdr:rowOff>6350</xdr:rowOff>
        </xdr:from>
        <xdr:to>
          <xdr:col>15</xdr:col>
          <xdr:colOff>38100</xdr:colOff>
          <xdr:row>45</xdr:row>
          <xdr:rowOff>63500</xdr:rowOff>
        </xdr:to>
        <xdr:sp macro="" textlink="">
          <xdr:nvSpPr>
            <xdr:cNvPr id="1120" name="Group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Tapicerka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40</xdr:row>
          <xdr:rowOff>196850</xdr:rowOff>
        </xdr:from>
        <xdr:to>
          <xdr:col>13</xdr:col>
          <xdr:colOff>698500</xdr:colOff>
          <xdr:row>42</xdr:row>
          <xdr:rowOff>25400</xdr:rowOff>
        </xdr:to>
        <xdr:sp macro="" textlink="">
          <xdr:nvSpPr>
            <xdr:cNvPr id="1121" name="Option 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41</xdr:row>
          <xdr:rowOff>196850</xdr:rowOff>
        </xdr:from>
        <xdr:to>
          <xdr:col>13</xdr:col>
          <xdr:colOff>698500</xdr:colOff>
          <xdr:row>43</xdr:row>
          <xdr:rowOff>25400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42</xdr:row>
          <xdr:rowOff>190500</xdr:rowOff>
        </xdr:from>
        <xdr:to>
          <xdr:col>13</xdr:col>
          <xdr:colOff>698500</xdr:colOff>
          <xdr:row>44</xdr:row>
          <xdr:rowOff>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43</xdr:row>
          <xdr:rowOff>184150</xdr:rowOff>
        </xdr:from>
        <xdr:to>
          <xdr:col>13</xdr:col>
          <xdr:colOff>749300</xdr:colOff>
          <xdr:row>45</xdr:row>
          <xdr:rowOff>0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15</xdr:col>
          <xdr:colOff>38100</xdr:colOff>
          <xdr:row>54</xdr:row>
          <xdr:rowOff>101600</xdr:rowOff>
        </xdr:to>
        <xdr:sp macro="" textlink="">
          <xdr:nvSpPr>
            <xdr:cNvPr id="1127" name="Group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Dodatkowe pakiety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46</xdr:row>
          <xdr:rowOff>184150</xdr:rowOff>
        </xdr:from>
        <xdr:to>
          <xdr:col>13</xdr:col>
          <xdr:colOff>698500</xdr:colOff>
          <xdr:row>48</xdr:row>
          <xdr:rowOff>6350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47</xdr:row>
          <xdr:rowOff>184150</xdr:rowOff>
        </xdr:from>
        <xdr:to>
          <xdr:col>13</xdr:col>
          <xdr:colOff>711200</xdr:colOff>
          <xdr:row>49</xdr:row>
          <xdr:rowOff>6350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48</xdr:row>
          <xdr:rowOff>184150</xdr:rowOff>
        </xdr:from>
        <xdr:to>
          <xdr:col>13</xdr:col>
          <xdr:colOff>711200</xdr:colOff>
          <xdr:row>50</xdr:row>
          <xdr:rowOff>12700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49</xdr:row>
          <xdr:rowOff>184150</xdr:rowOff>
        </xdr:from>
        <xdr:to>
          <xdr:col>13</xdr:col>
          <xdr:colOff>698500</xdr:colOff>
          <xdr:row>51</xdr:row>
          <xdr:rowOff>6350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50</xdr:row>
          <xdr:rowOff>196850</xdr:rowOff>
        </xdr:from>
        <xdr:to>
          <xdr:col>13</xdr:col>
          <xdr:colOff>711200</xdr:colOff>
          <xdr:row>52</xdr:row>
          <xdr:rowOff>25400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51</xdr:row>
          <xdr:rowOff>190500</xdr:rowOff>
        </xdr:from>
        <xdr:to>
          <xdr:col>13</xdr:col>
          <xdr:colOff>711200</xdr:colOff>
          <xdr:row>53</xdr:row>
          <xdr:rowOff>12700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52</xdr:row>
          <xdr:rowOff>190500</xdr:rowOff>
        </xdr:from>
        <xdr:to>
          <xdr:col>13</xdr:col>
          <xdr:colOff>711200</xdr:colOff>
          <xdr:row>54</xdr:row>
          <xdr:rowOff>12700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16</xdr:row>
          <xdr:rowOff>190500</xdr:rowOff>
        </xdr:from>
        <xdr:to>
          <xdr:col>9</xdr:col>
          <xdr:colOff>0</xdr:colOff>
          <xdr:row>22</xdr:row>
          <xdr:rowOff>76200</xdr:rowOff>
        </xdr:to>
        <xdr:sp macro="" textlink="">
          <xdr:nvSpPr>
            <xdr:cNvPr id="1142" name="Group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Poziom wyposażenia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18</xdr:row>
          <xdr:rowOff>6350</xdr:rowOff>
        </xdr:from>
        <xdr:to>
          <xdr:col>7</xdr:col>
          <xdr:colOff>774700</xdr:colOff>
          <xdr:row>19</xdr:row>
          <xdr:rowOff>25400</xdr:rowOff>
        </xdr:to>
        <xdr:sp macro="" textlink="">
          <xdr:nvSpPr>
            <xdr:cNvPr id="1144" name="Option 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19</xdr:row>
          <xdr:rowOff>12700</xdr:rowOff>
        </xdr:from>
        <xdr:to>
          <xdr:col>7</xdr:col>
          <xdr:colOff>787400</xdr:colOff>
          <xdr:row>20</xdr:row>
          <xdr:rowOff>25400</xdr:rowOff>
        </xdr:to>
        <xdr:sp macro="" textlink="">
          <xdr:nvSpPr>
            <xdr:cNvPr id="1145" name="Option 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20</xdr:row>
          <xdr:rowOff>6350</xdr:rowOff>
        </xdr:from>
        <xdr:to>
          <xdr:col>7</xdr:col>
          <xdr:colOff>774700</xdr:colOff>
          <xdr:row>21</xdr:row>
          <xdr:rowOff>25400</xdr:rowOff>
        </xdr:to>
        <xdr:sp macro="" textlink="">
          <xdr:nvSpPr>
            <xdr:cNvPr id="1147" name="Option 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23</xdr:row>
          <xdr:rowOff>12700</xdr:rowOff>
        </xdr:from>
        <xdr:to>
          <xdr:col>9</xdr:col>
          <xdr:colOff>6350</xdr:colOff>
          <xdr:row>26</xdr:row>
          <xdr:rowOff>127000</xdr:rowOff>
        </xdr:to>
        <xdr:sp macro="" textlink="">
          <xdr:nvSpPr>
            <xdr:cNvPr id="1148" name="Group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Napęd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23</xdr:row>
          <xdr:rowOff>190500</xdr:rowOff>
        </xdr:from>
        <xdr:to>
          <xdr:col>7</xdr:col>
          <xdr:colOff>768350</xdr:colOff>
          <xdr:row>25</xdr:row>
          <xdr:rowOff>6350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24</xdr:row>
          <xdr:rowOff>190500</xdr:rowOff>
        </xdr:from>
        <xdr:to>
          <xdr:col>7</xdr:col>
          <xdr:colOff>768350</xdr:colOff>
          <xdr:row>26</xdr:row>
          <xdr:rowOff>12700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27</xdr:row>
          <xdr:rowOff>6350</xdr:rowOff>
        </xdr:from>
        <xdr:to>
          <xdr:col>9</xdr:col>
          <xdr:colOff>6350</xdr:colOff>
          <xdr:row>36</xdr:row>
          <xdr:rowOff>120650</xdr:rowOff>
        </xdr:to>
        <xdr:sp macro="" textlink="">
          <xdr:nvSpPr>
            <xdr:cNvPr id="1151" name="Group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27</xdr:row>
          <xdr:rowOff>190500</xdr:rowOff>
        </xdr:from>
        <xdr:to>
          <xdr:col>8</xdr:col>
          <xdr:colOff>730250</xdr:colOff>
          <xdr:row>29</xdr:row>
          <xdr:rowOff>12700</xdr:rowOff>
        </xdr:to>
        <xdr:sp macro="" textlink="">
          <xdr:nvSpPr>
            <xdr:cNvPr id="1152" name="Option 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29</xdr:row>
          <xdr:rowOff>6350</xdr:rowOff>
        </xdr:from>
        <xdr:to>
          <xdr:col>8</xdr:col>
          <xdr:colOff>736600</xdr:colOff>
          <xdr:row>30</xdr:row>
          <xdr:rowOff>25400</xdr:rowOff>
        </xdr:to>
        <xdr:sp macro="" textlink="">
          <xdr:nvSpPr>
            <xdr:cNvPr id="1153" name="Option 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30</xdr:row>
          <xdr:rowOff>0</xdr:rowOff>
        </xdr:from>
        <xdr:to>
          <xdr:col>8</xdr:col>
          <xdr:colOff>730250</xdr:colOff>
          <xdr:row>31</xdr:row>
          <xdr:rowOff>12700</xdr:rowOff>
        </xdr:to>
        <xdr:sp macro="" textlink="">
          <xdr:nvSpPr>
            <xdr:cNvPr id="1154" name="Option 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1651000</xdr:colOff>
          <xdr:row>31</xdr:row>
          <xdr:rowOff>0</xdr:rowOff>
        </xdr:from>
        <xdr:to>
          <xdr:col>8</xdr:col>
          <xdr:colOff>723900</xdr:colOff>
          <xdr:row>32</xdr:row>
          <xdr:rowOff>12700</xdr:rowOff>
        </xdr:to>
        <xdr:sp macro="" textlink="">
          <xdr:nvSpPr>
            <xdr:cNvPr id="1155" name="Option 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32</xdr:row>
          <xdr:rowOff>6350</xdr:rowOff>
        </xdr:from>
        <xdr:to>
          <xdr:col>8</xdr:col>
          <xdr:colOff>730250</xdr:colOff>
          <xdr:row>33</xdr:row>
          <xdr:rowOff>25400</xdr:rowOff>
        </xdr:to>
        <xdr:sp macro="" textlink="">
          <xdr:nvSpPr>
            <xdr:cNvPr id="1156" name="Option 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32</xdr:row>
          <xdr:rowOff>190500</xdr:rowOff>
        </xdr:from>
        <xdr:to>
          <xdr:col>8</xdr:col>
          <xdr:colOff>736600</xdr:colOff>
          <xdr:row>34</xdr:row>
          <xdr:rowOff>12700</xdr:rowOff>
        </xdr:to>
        <xdr:sp macro="" textlink="">
          <xdr:nvSpPr>
            <xdr:cNvPr id="1157" name="Option 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34</xdr:row>
          <xdr:rowOff>0</xdr:rowOff>
        </xdr:from>
        <xdr:to>
          <xdr:col>8</xdr:col>
          <xdr:colOff>736600</xdr:colOff>
          <xdr:row>35</xdr:row>
          <xdr:rowOff>12700</xdr:rowOff>
        </xdr:to>
        <xdr:sp macro="" textlink="">
          <xdr:nvSpPr>
            <xdr:cNvPr id="1158" name="Option 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1663700</xdr:colOff>
          <xdr:row>35</xdr:row>
          <xdr:rowOff>12700</xdr:rowOff>
        </xdr:from>
        <xdr:to>
          <xdr:col>8</xdr:col>
          <xdr:colOff>730250</xdr:colOff>
          <xdr:row>36</xdr:row>
          <xdr:rowOff>25400</xdr:rowOff>
        </xdr:to>
        <xdr:sp macro="" textlink="">
          <xdr:nvSpPr>
            <xdr:cNvPr id="1159" name="Option 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749300</xdr:colOff>
          <xdr:row>37</xdr:row>
          <xdr:rowOff>12700</xdr:rowOff>
        </xdr:from>
        <xdr:to>
          <xdr:col>9</xdr:col>
          <xdr:colOff>12700</xdr:colOff>
          <xdr:row>40</xdr:row>
          <xdr:rowOff>101600</xdr:rowOff>
        </xdr:to>
        <xdr:sp macro="" textlink="">
          <xdr:nvSpPr>
            <xdr:cNvPr id="1160" name="Group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Koła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37</xdr:row>
          <xdr:rowOff>184150</xdr:rowOff>
        </xdr:from>
        <xdr:to>
          <xdr:col>7</xdr:col>
          <xdr:colOff>787400</xdr:colOff>
          <xdr:row>39</xdr:row>
          <xdr:rowOff>6350</xdr:rowOff>
        </xdr:to>
        <xdr:sp macro="" textlink="">
          <xdr:nvSpPr>
            <xdr:cNvPr id="1161" name="Option 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38</xdr:row>
          <xdr:rowOff>190500</xdr:rowOff>
        </xdr:from>
        <xdr:to>
          <xdr:col>7</xdr:col>
          <xdr:colOff>774700</xdr:colOff>
          <xdr:row>40</xdr:row>
          <xdr:rowOff>12700</xdr:rowOff>
        </xdr:to>
        <xdr:sp macro="" textlink="">
          <xdr:nvSpPr>
            <xdr:cNvPr id="1163" name="Option 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749300</xdr:colOff>
          <xdr:row>41</xdr:row>
          <xdr:rowOff>6350</xdr:rowOff>
        </xdr:from>
        <xdr:to>
          <xdr:col>9</xdr:col>
          <xdr:colOff>12700</xdr:colOff>
          <xdr:row>46</xdr:row>
          <xdr:rowOff>76200</xdr:rowOff>
        </xdr:to>
        <xdr:sp macro="" textlink="">
          <xdr:nvSpPr>
            <xdr:cNvPr id="1164" name="Group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Tapicerka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41</xdr:row>
          <xdr:rowOff>184150</xdr:rowOff>
        </xdr:from>
        <xdr:to>
          <xdr:col>7</xdr:col>
          <xdr:colOff>762000</xdr:colOff>
          <xdr:row>43</xdr:row>
          <xdr:rowOff>6350</xdr:rowOff>
        </xdr:to>
        <xdr:sp macro="" textlink="">
          <xdr:nvSpPr>
            <xdr:cNvPr id="1165" name="Option 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43</xdr:row>
          <xdr:rowOff>6350</xdr:rowOff>
        </xdr:from>
        <xdr:to>
          <xdr:col>7</xdr:col>
          <xdr:colOff>768350</xdr:colOff>
          <xdr:row>44</xdr:row>
          <xdr:rowOff>25400</xdr:rowOff>
        </xdr:to>
        <xdr:sp macro="" textlink="">
          <xdr:nvSpPr>
            <xdr:cNvPr id="1166" name="Option 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43</xdr:row>
          <xdr:rowOff>196850</xdr:rowOff>
        </xdr:from>
        <xdr:to>
          <xdr:col>7</xdr:col>
          <xdr:colOff>768350</xdr:colOff>
          <xdr:row>45</xdr:row>
          <xdr:rowOff>12700</xdr:rowOff>
        </xdr:to>
        <xdr:sp macro="" textlink="">
          <xdr:nvSpPr>
            <xdr:cNvPr id="1167" name="Option 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45</xdr:row>
          <xdr:rowOff>0</xdr:rowOff>
        </xdr:from>
        <xdr:to>
          <xdr:col>7</xdr:col>
          <xdr:colOff>762000</xdr:colOff>
          <xdr:row>46</xdr:row>
          <xdr:rowOff>12700</xdr:rowOff>
        </xdr:to>
        <xdr:sp macro="" textlink="">
          <xdr:nvSpPr>
            <xdr:cNvPr id="1168" name="Option 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749300</xdr:colOff>
          <xdr:row>46</xdr:row>
          <xdr:rowOff>190500</xdr:rowOff>
        </xdr:from>
        <xdr:to>
          <xdr:col>9</xdr:col>
          <xdr:colOff>25400</xdr:colOff>
          <xdr:row>54</xdr:row>
          <xdr:rowOff>120650</xdr:rowOff>
        </xdr:to>
        <xdr:sp macro="" textlink="">
          <xdr:nvSpPr>
            <xdr:cNvPr id="1169" name="Group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Dodatkowe pakiety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47</xdr:row>
          <xdr:rowOff>184150</xdr:rowOff>
        </xdr:from>
        <xdr:to>
          <xdr:col>7</xdr:col>
          <xdr:colOff>730250</xdr:colOff>
          <xdr:row>49</xdr:row>
          <xdr:rowOff>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48</xdr:row>
          <xdr:rowOff>196850</xdr:rowOff>
        </xdr:from>
        <xdr:to>
          <xdr:col>7</xdr:col>
          <xdr:colOff>730250</xdr:colOff>
          <xdr:row>50</xdr:row>
          <xdr:rowOff>6350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49</xdr:row>
          <xdr:rowOff>190500</xdr:rowOff>
        </xdr:from>
        <xdr:to>
          <xdr:col>7</xdr:col>
          <xdr:colOff>730250</xdr:colOff>
          <xdr:row>51</xdr:row>
          <xdr:rowOff>12700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50</xdr:row>
          <xdr:rowOff>190500</xdr:rowOff>
        </xdr:from>
        <xdr:to>
          <xdr:col>7</xdr:col>
          <xdr:colOff>730250</xdr:colOff>
          <xdr:row>52</xdr:row>
          <xdr:rowOff>12700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51</xdr:row>
          <xdr:rowOff>196850</xdr:rowOff>
        </xdr:from>
        <xdr:to>
          <xdr:col>7</xdr:col>
          <xdr:colOff>730250</xdr:colOff>
          <xdr:row>53</xdr:row>
          <xdr:rowOff>6350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52</xdr:row>
          <xdr:rowOff>196850</xdr:rowOff>
        </xdr:from>
        <xdr:to>
          <xdr:col>7</xdr:col>
          <xdr:colOff>730250</xdr:colOff>
          <xdr:row>54</xdr:row>
          <xdr:rowOff>25400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3</xdr:col>
          <xdr:colOff>25400</xdr:colOff>
          <xdr:row>21</xdr:row>
          <xdr:rowOff>69850</xdr:rowOff>
        </xdr:to>
        <xdr:sp macro="" textlink="">
          <xdr:nvSpPr>
            <xdr:cNvPr id="1176" name="Group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Poziom wyposażenia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17</xdr:row>
          <xdr:rowOff>177800</xdr:rowOff>
        </xdr:from>
        <xdr:to>
          <xdr:col>1</xdr:col>
          <xdr:colOff>768350</xdr:colOff>
          <xdr:row>19</xdr:row>
          <xdr:rowOff>6350</xdr:rowOff>
        </xdr:to>
        <xdr:sp macro="" textlink="">
          <xdr:nvSpPr>
            <xdr:cNvPr id="1177" name="Option 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18</xdr:row>
          <xdr:rowOff>177800</xdr:rowOff>
        </xdr:from>
        <xdr:to>
          <xdr:col>1</xdr:col>
          <xdr:colOff>768350</xdr:colOff>
          <xdr:row>20</xdr:row>
          <xdr:rowOff>6350</xdr:rowOff>
        </xdr:to>
        <xdr:sp macro="" textlink="">
          <xdr:nvSpPr>
            <xdr:cNvPr id="1178" name="Option 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19</xdr:row>
          <xdr:rowOff>190500</xdr:rowOff>
        </xdr:from>
        <xdr:to>
          <xdr:col>1</xdr:col>
          <xdr:colOff>768350</xdr:colOff>
          <xdr:row>21</xdr:row>
          <xdr:rowOff>25400</xdr:rowOff>
        </xdr:to>
        <xdr:sp macro="" textlink="">
          <xdr:nvSpPr>
            <xdr:cNvPr id="1181" name="Option 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21</xdr:row>
          <xdr:rowOff>177800</xdr:rowOff>
        </xdr:from>
        <xdr:to>
          <xdr:col>3</xdr:col>
          <xdr:colOff>25400</xdr:colOff>
          <xdr:row>25</xdr:row>
          <xdr:rowOff>120650</xdr:rowOff>
        </xdr:to>
        <xdr:sp macro="" textlink="">
          <xdr:nvSpPr>
            <xdr:cNvPr id="1182" name="Group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Napęd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22</xdr:row>
          <xdr:rowOff>190500</xdr:rowOff>
        </xdr:from>
        <xdr:to>
          <xdr:col>1</xdr:col>
          <xdr:colOff>762000</xdr:colOff>
          <xdr:row>24</xdr:row>
          <xdr:rowOff>25400</xdr:rowOff>
        </xdr:to>
        <xdr:sp macro="" textlink="">
          <xdr:nvSpPr>
            <xdr:cNvPr id="1183" name="Option 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23</xdr:row>
          <xdr:rowOff>177800</xdr:rowOff>
        </xdr:from>
        <xdr:to>
          <xdr:col>1</xdr:col>
          <xdr:colOff>762000</xdr:colOff>
          <xdr:row>25</xdr:row>
          <xdr:rowOff>6350</xdr:rowOff>
        </xdr:to>
        <xdr:sp macro="" textlink="">
          <xdr:nvSpPr>
            <xdr:cNvPr id="1184" name="Option 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6350</xdr:rowOff>
        </xdr:from>
        <xdr:to>
          <xdr:col>3</xdr:col>
          <xdr:colOff>12700</xdr:colOff>
          <xdr:row>35</xdr:row>
          <xdr:rowOff>114300</xdr:rowOff>
        </xdr:to>
        <xdr:sp macro="" textlink="">
          <xdr:nvSpPr>
            <xdr:cNvPr id="1185" name="Group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26</xdr:row>
          <xdr:rowOff>184150</xdr:rowOff>
        </xdr:from>
        <xdr:to>
          <xdr:col>2</xdr:col>
          <xdr:colOff>793750</xdr:colOff>
          <xdr:row>28</xdr:row>
          <xdr:rowOff>12700</xdr:rowOff>
        </xdr:to>
        <xdr:sp macro="" textlink="">
          <xdr:nvSpPr>
            <xdr:cNvPr id="1186" name="Option 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27</xdr:row>
          <xdr:rowOff>177800</xdr:rowOff>
        </xdr:from>
        <xdr:to>
          <xdr:col>2</xdr:col>
          <xdr:colOff>793750</xdr:colOff>
          <xdr:row>29</xdr:row>
          <xdr:rowOff>6350</xdr:rowOff>
        </xdr:to>
        <xdr:sp macro="" textlink="">
          <xdr:nvSpPr>
            <xdr:cNvPr id="1187" name="Option 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1606550</xdr:colOff>
          <xdr:row>28</xdr:row>
          <xdr:rowOff>184150</xdr:rowOff>
        </xdr:from>
        <xdr:to>
          <xdr:col>2</xdr:col>
          <xdr:colOff>800100</xdr:colOff>
          <xdr:row>30</xdr:row>
          <xdr:rowOff>12700</xdr:rowOff>
        </xdr:to>
        <xdr:sp macro="" textlink="">
          <xdr:nvSpPr>
            <xdr:cNvPr id="1188" name="Option 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1606550</xdr:colOff>
          <xdr:row>29</xdr:row>
          <xdr:rowOff>184150</xdr:rowOff>
        </xdr:from>
        <xdr:to>
          <xdr:col>2</xdr:col>
          <xdr:colOff>800100</xdr:colOff>
          <xdr:row>31</xdr:row>
          <xdr:rowOff>12700</xdr:rowOff>
        </xdr:to>
        <xdr:sp macro="" textlink="">
          <xdr:nvSpPr>
            <xdr:cNvPr id="1189" name="Option 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30</xdr:row>
          <xdr:rowOff>177800</xdr:rowOff>
        </xdr:from>
        <xdr:to>
          <xdr:col>2</xdr:col>
          <xdr:colOff>793750</xdr:colOff>
          <xdr:row>32</xdr:row>
          <xdr:rowOff>6350</xdr:rowOff>
        </xdr:to>
        <xdr:sp macro="" textlink="">
          <xdr:nvSpPr>
            <xdr:cNvPr id="1190" name="Option 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31</xdr:row>
          <xdr:rowOff>177800</xdr:rowOff>
        </xdr:from>
        <xdr:to>
          <xdr:col>2</xdr:col>
          <xdr:colOff>793750</xdr:colOff>
          <xdr:row>33</xdr:row>
          <xdr:rowOff>12700</xdr:rowOff>
        </xdr:to>
        <xdr:sp macro="" textlink="">
          <xdr:nvSpPr>
            <xdr:cNvPr id="1191" name="Option 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1593850</xdr:colOff>
          <xdr:row>32</xdr:row>
          <xdr:rowOff>184150</xdr:rowOff>
        </xdr:from>
        <xdr:to>
          <xdr:col>2</xdr:col>
          <xdr:colOff>787400</xdr:colOff>
          <xdr:row>34</xdr:row>
          <xdr:rowOff>12700</xdr:rowOff>
        </xdr:to>
        <xdr:sp macro="" textlink="">
          <xdr:nvSpPr>
            <xdr:cNvPr id="1192" name="Option 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1593850</xdr:colOff>
          <xdr:row>33</xdr:row>
          <xdr:rowOff>190500</xdr:rowOff>
        </xdr:from>
        <xdr:to>
          <xdr:col>2</xdr:col>
          <xdr:colOff>787400</xdr:colOff>
          <xdr:row>35</xdr:row>
          <xdr:rowOff>25400</xdr:rowOff>
        </xdr:to>
        <xdr:sp macro="" textlink="">
          <xdr:nvSpPr>
            <xdr:cNvPr id="1193" name="Option 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35</xdr:row>
          <xdr:rowOff>190500</xdr:rowOff>
        </xdr:from>
        <xdr:to>
          <xdr:col>3</xdr:col>
          <xdr:colOff>25400</xdr:colOff>
          <xdr:row>39</xdr:row>
          <xdr:rowOff>146050</xdr:rowOff>
        </xdr:to>
        <xdr:sp macro="" textlink="">
          <xdr:nvSpPr>
            <xdr:cNvPr id="1194" name="Group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Koła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36</xdr:row>
          <xdr:rowOff>177800</xdr:rowOff>
        </xdr:from>
        <xdr:to>
          <xdr:col>1</xdr:col>
          <xdr:colOff>774700</xdr:colOff>
          <xdr:row>38</xdr:row>
          <xdr:rowOff>6350</xdr:rowOff>
        </xdr:to>
        <xdr:sp macro="" textlink="">
          <xdr:nvSpPr>
            <xdr:cNvPr id="1195" name="Option 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37</xdr:row>
          <xdr:rowOff>177800</xdr:rowOff>
        </xdr:from>
        <xdr:to>
          <xdr:col>1</xdr:col>
          <xdr:colOff>774700</xdr:colOff>
          <xdr:row>39</xdr:row>
          <xdr:rowOff>6350</xdr:rowOff>
        </xdr:to>
        <xdr:sp macro="" textlink="">
          <xdr:nvSpPr>
            <xdr:cNvPr id="1196" name="Option 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40</xdr:row>
          <xdr:rowOff>12700</xdr:rowOff>
        </xdr:from>
        <xdr:to>
          <xdr:col>3</xdr:col>
          <xdr:colOff>12700</xdr:colOff>
          <xdr:row>46</xdr:row>
          <xdr:rowOff>82550</xdr:rowOff>
        </xdr:to>
        <xdr:sp macro="" textlink="">
          <xdr:nvSpPr>
            <xdr:cNvPr id="1197" name="Group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Tapicerka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40</xdr:row>
          <xdr:rowOff>190500</xdr:rowOff>
        </xdr:from>
        <xdr:to>
          <xdr:col>1</xdr:col>
          <xdr:colOff>768350</xdr:colOff>
          <xdr:row>42</xdr:row>
          <xdr:rowOff>25400</xdr:rowOff>
        </xdr:to>
        <xdr:sp macro="" textlink="">
          <xdr:nvSpPr>
            <xdr:cNvPr id="1198" name="Option 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41</xdr:row>
          <xdr:rowOff>184150</xdr:rowOff>
        </xdr:from>
        <xdr:to>
          <xdr:col>1</xdr:col>
          <xdr:colOff>768350</xdr:colOff>
          <xdr:row>43</xdr:row>
          <xdr:rowOff>25400</xdr:rowOff>
        </xdr:to>
        <xdr:sp macro="" textlink="">
          <xdr:nvSpPr>
            <xdr:cNvPr id="1199" name="Option 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42</xdr:row>
          <xdr:rowOff>184150</xdr:rowOff>
        </xdr:from>
        <xdr:to>
          <xdr:col>1</xdr:col>
          <xdr:colOff>762000</xdr:colOff>
          <xdr:row>44</xdr:row>
          <xdr:rowOff>12700</xdr:rowOff>
        </xdr:to>
        <xdr:sp macro="" textlink="">
          <xdr:nvSpPr>
            <xdr:cNvPr id="1200" name="Option 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43</xdr:row>
          <xdr:rowOff>190500</xdr:rowOff>
        </xdr:from>
        <xdr:to>
          <xdr:col>1</xdr:col>
          <xdr:colOff>762000</xdr:colOff>
          <xdr:row>45</xdr:row>
          <xdr:rowOff>25400</xdr:rowOff>
        </xdr:to>
        <xdr:sp macro="" textlink="">
          <xdr:nvSpPr>
            <xdr:cNvPr id="1201" name="Option 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44</xdr:row>
          <xdr:rowOff>177800</xdr:rowOff>
        </xdr:from>
        <xdr:to>
          <xdr:col>1</xdr:col>
          <xdr:colOff>755650</xdr:colOff>
          <xdr:row>46</xdr:row>
          <xdr:rowOff>6350</xdr:rowOff>
        </xdr:to>
        <xdr:sp macro="" textlink="">
          <xdr:nvSpPr>
            <xdr:cNvPr id="1202" name="Option 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127000</xdr:rowOff>
        </xdr:from>
        <xdr:to>
          <xdr:col>3</xdr:col>
          <xdr:colOff>12700</xdr:colOff>
          <xdr:row>51</xdr:row>
          <xdr:rowOff>101600</xdr:rowOff>
        </xdr:to>
        <xdr:sp macro="" textlink="">
          <xdr:nvSpPr>
            <xdr:cNvPr id="1203" name="Group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Dodatkowe pakiety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47</xdr:row>
          <xdr:rowOff>177800</xdr:rowOff>
        </xdr:from>
        <xdr:to>
          <xdr:col>1</xdr:col>
          <xdr:colOff>723900</xdr:colOff>
          <xdr:row>49</xdr:row>
          <xdr:rowOff>6350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49</xdr:row>
          <xdr:rowOff>0</xdr:rowOff>
        </xdr:from>
        <xdr:to>
          <xdr:col>1</xdr:col>
          <xdr:colOff>723900</xdr:colOff>
          <xdr:row>50</xdr:row>
          <xdr:rowOff>25400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49</xdr:row>
          <xdr:rowOff>196850</xdr:rowOff>
        </xdr:from>
        <xdr:to>
          <xdr:col>1</xdr:col>
          <xdr:colOff>730250</xdr:colOff>
          <xdr:row>51</xdr:row>
          <xdr:rowOff>25400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749300</xdr:colOff>
          <xdr:row>14</xdr:row>
          <xdr:rowOff>69850</xdr:rowOff>
        </xdr:from>
        <xdr:to>
          <xdr:col>21</xdr:col>
          <xdr:colOff>25400</xdr:colOff>
          <xdr:row>17</xdr:row>
          <xdr:rowOff>82550</xdr:rowOff>
        </xdr:to>
        <xdr:sp macro="" textlink="">
          <xdr:nvSpPr>
            <xdr:cNvPr id="1207" name="Group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Wersja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14</xdr:row>
          <xdr:rowOff>196850</xdr:rowOff>
        </xdr:from>
        <xdr:to>
          <xdr:col>19</xdr:col>
          <xdr:colOff>749300</xdr:colOff>
          <xdr:row>16</xdr:row>
          <xdr:rowOff>25400</xdr:rowOff>
        </xdr:to>
        <xdr:sp macro="" textlink="">
          <xdr:nvSpPr>
            <xdr:cNvPr id="1208" name="Option 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16</xdr:row>
          <xdr:rowOff>0</xdr:rowOff>
        </xdr:from>
        <xdr:to>
          <xdr:col>19</xdr:col>
          <xdr:colOff>736600</xdr:colOff>
          <xdr:row>17</xdr:row>
          <xdr:rowOff>25400</xdr:rowOff>
        </xdr:to>
        <xdr:sp macro="" textlink="">
          <xdr:nvSpPr>
            <xdr:cNvPr id="1209" name="Option 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749300</xdr:colOff>
          <xdr:row>17</xdr:row>
          <xdr:rowOff>139700</xdr:rowOff>
        </xdr:from>
        <xdr:to>
          <xdr:col>21</xdr:col>
          <xdr:colOff>25400</xdr:colOff>
          <xdr:row>23</xdr:row>
          <xdr:rowOff>63500</xdr:rowOff>
        </xdr:to>
        <xdr:sp macro="" textlink="">
          <xdr:nvSpPr>
            <xdr:cNvPr id="1210" name="Group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Poziom wyposażenia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18</xdr:row>
          <xdr:rowOff>196850</xdr:rowOff>
        </xdr:from>
        <xdr:to>
          <xdr:col>19</xdr:col>
          <xdr:colOff>749300</xdr:colOff>
          <xdr:row>20</xdr:row>
          <xdr:rowOff>25400</xdr:rowOff>
        </xdr:to>
        <xdr:sp macro="" textlink="">
          <xdr:nvSpPr>
            <xdr:cNvPr id="1211" name="Option 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20</xdr:row>
          <xdr:rowOff>0</xdr:rowOff>
        </xdr:from>
        <xdr:to>
          <xdr:col>19</xdr:col>
          <xdr:colOff>749300</xdr:colOff>
          <xdr:row>21</xdr:row>
          <xdr:rowOff>12700</xdr:rowOff>
        </xdr:to>
        <xdr:sp macro="" textlink="">
          <xdr:nvSpPr>
            <xdr:cNvPr id="1212" name="Option 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20</xdr:row>
          <xdr:rowOff>190500</xdr:rowOff>
        </xdr:from>
        <xdr:to>
          <xdr:col>19</xdr:col>
          <xdr:colOff>749300</xdr:colOff>
          <xdr:row>22</xdr:row>
          <xdr:rowOff>12700</xdr:rowOff>
        </xdr:to>
        <xdr:sp macro="" textlink="">
          <xdr:nvSpPr>
            <xdr:cNvPr id="1213" name="Option 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184150</xdr:rowOff>
        </xdr:from>
        <xdr:to>
          <xdr:col>19</xdr:col>
          <xdr:colOff>736600</xdr:colOff>
          <xdr:row>23</xdr:row>
          <xdr:rowOff>6350</xdr:rowOff>
        </xdr:to>
        <xdr:sp macro="" textlink="">
          <xdr:nvSpPr>
            <xdr:cNvPr id="1215" name="Option 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749300</xdr:colOff>
          <xdr:row>24</xdr:row>
          <xdr:rowOff>0</xdr:rowOff>
        </xdr:from>
        <xdr:to>
          <xdr:col>21</xdr:col>
          <xdr:colOff>25400</xdr:colOff>
          <xdr:row>27</xdr:row>
          <xdr:rowOff>88900</xdr:rowOff>
        </xdr:to>
        <xdr:sp macro="" textlink="">
          <xdr:nvSpPr>
            <xdr:cNvPr id="1216" name="Group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Napęd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24</xdr:row>
          <xdr:rowOff>190500</xdr:rowOff>
        </xdr:from>
        <xdr:to>
          <xdr:col>19</xdr:col>
          <xdr:colOff>755650</xdr:colOff>
          <xdr:row>26</xdr:row>
          <xdr:rowOff>12700</xdr:rowOff>
        </xdr:to>
        <xdr:sp macro="" textlink="">
          <xdr:nvSpPr>
            <xdr:cNvPr id="1217" name="Option 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26</xdr:row>
          <xdr:rowOff>6350</xdr:rowOff>
        </xdr:from>
        <xdr:to>
          <xdr:col>19</xdr:col>
          <xdr:colOff>749300</xdr:colOff>
          <xdr:row>27</xdr:row>
          <xdr:rowOff>25400</xdr:rowOff>
        </xdr:to>
        <xdr:sp macro="" textlink="">
          <xdr:nvSpPr>
            <xdr:cNvPr id="1218" name="Option 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762000</xdr:colOff>
          <xdr:row>28</xdr:row>
          <xdr:rowOff>12700</xdr:rowOff>
        </xdr:from>
        <xdr:to>
          <xdr:col>21</xdr:col>
          <xdr:colOff>6350</xdr:colOff>
          <xdr:row>37</xdr:row>
          <xdr:rowOff>88900</xdr:rowOff>
        </xdr:to>
        <xdr:sp macro="" textlink="">
          <xdr:nvSpPr>
            <xdr:cNvPr id="1219" name="Group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28</xdr:row>
          <xdr:rowOff>184150</xdr:rowOff>
        </xdr:from>
        <xdr:to>
          <xdr:col>20</xdr:col>
          <xdr:colOff>749300</xdr:colOff>
          <xdr:row>30</xdr:row>
          <xdr:rowOff>6350</xdr:rowOff>
        </xdr:to>
        <xdr:sp macro="" textlink="">
          <xdr:nvSpPr>
            <xdr:cNvPr id="1220" name="Option 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29</xdr:row>
          <xdr:rowOff>196850</xdr:rowOff>
        </xdr:from>
        <xdr:to>
          <xdr:col>20</xdr:col>
          <xdr:colOff>736600</xdr:colOff>
          <xdr:row>31</xdr:row>
          <xdr:rowOff>6350</xdr:rowOff>
        </xdr:to>
        <xdr:sp macro="" textlink="">
          <xdr:nvSpPr>
            <xdr:cNvPr id="1221" name="Option 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30</xdr:row>
          <xdr:rowOff>196850</xdr:rowOff>
        </xdr:from>
        <xdr:to>
          <xdr:col>20</xdr:col>
          <xdr:colOff>736600</xdr:colOff>
          <xdr:row>32</xdr:row>
          <xdr:rowOff>25400</xdr:rowOff>
        </xdr:to>
        <xdr:sp macro="" textlink="">
          <xdr:nvSpPr>
            <xdr:cNvPr id="1222" name="Option 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31</xdr:row>
          <xdr:rowOff>190500</xdr:rowOff>
        </xdr:from>
        <xdr:to>
          <xdr:col>20</xdr:col>
          <xdr:colOff>736600</xdr:colOff>
          <xdr:row>33</xdr:row>
          <xdr:rowOff>12700</xdr:rowOff>
        </xdr:to>
        <xdr:sp macro="" textlink="">
          <xdr:nvSpPr>
            <xdr:cNvPr id="1223" name="Option 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1917700</xdr:colOff>
          <xdr:row>32</xdr:row>
          <xdr:rowOff>190500</xdr:rowOff>
        </xdr:from>
        <xdr:to>
          <xdr:col>20</xdr:col>
          <xdr:colOff>730250</xdr:colOff>
          <xdr:row>34</xdr:row>
          <xdr:rowOff>6350</xdr:rowOff>
        </xdr:to>
        <xdr:sp macro="" textlink="">
          <xdr:nvSpPr>
            <xdr:cNvPr id="1224" name="Option 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33</xdr:row>
          <xdr:rowOff>190500</xdr:rowOff>
        </xdr:from>
        <xdr:to>
          <xdr:col>20</xdr:col>
          <xdr:colOff>736600</xdr:colOff>
          <xdr:row>35</xdr:row>
          <xdr:rowOff>6350</xdr:rowOff>
        </xdr:to>
        <xdr:sp macro="" textlink="">
          <xdr:nvSpPr>
            <xdr:cNvPr id="1225" name="Option 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35</xdr:row>
          <xdr:rowOff>0</xdr:rowOff>
        </xdr:from>
        <xdr:to>
          <xdr:col>20</xdr:col>
          <xdr:colOff>736600</xdr:colOff>
          <xdr:row>36</xdr:row>
          <xdr:rowOff>25400</xdr:rowOff>
        </xdr:to>
        <xdr:sp macro="" textlink="">
          <xdr:nvSpPr>
            <xdr:cNvPr id="1226" name="Option 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1930400</xdr:colOff>
          <xdr:row>35</xdr:row>
          <xdr:rowOff>196850</xdr:rowOff>
        </xdr:from>
        <xdr:to>
          <xdr:col>20</xdr:col>
          <xdr:colOff>749300</xdr:colOff>
          <xdr:row>37</xdr:row>
          <xdr:rowOff>12700</xdr:rowOff>
        </xdr:to>
        <xdr:sp macro="" textlink="">
          <xdr:nvSpPr>
            <xdr:cNvPr id="1227" name="Option 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762000</xdr:colOff>
          <xdr:row>38</xdr:row>
          <xdr:rowOff>0</xdr:rowOff>
        </xdr:from>
        <xdr:to>
          <xdr:col>21</xdr:col>
          <xdr:colOff>0</xdr:colOff>
          <xdr:row>42</xdr:row>
          <xdr:rowOff>63500</xdr:rowOff>
        </xdr:to>
        <xdr:sp macro="" textlink="">
          <xdr:nvSpPr>
            <xdr:cNvPr id="1228" name="Group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Koła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39</xdr:row>
          <xdr:rowOff>0</xdr:rowOff>
        </xdr:from>
        <xdr:to>
          <xdr:col>19</xdr:col>
          <xdr:colOff>736600</xdr:colOff>
          <xdr:row>40</xdr:row>
          <xdr:rowOff>12700</xdr:rowOff>
        </xdr:to>
        <xdr:sp macro="" textlink="">
          <xdr:nvSpPr>
            <xdr:cNvPr id="1229" name="Option 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6350</xdr:colOff>
          <xdr:row>39</xdr:row>
          <xdr:rowOff>190500</xdr:rowOff>
        </xdr:from>
        <xdr:to>
          <xdr:col>19</xdr:col>
          <xdr:colOff>730250</xdr:colOff>
          <xdr:row>41</xdr:row>
          <xdr:rowOff>12700</xdr:rowOff>
        </xdr:to>
        <xdr:sp macro="" textlink="">
          <xdr:nvSpPr>
            <xdr:cNvPr id="1230" name="Option 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6350</xdr:colOff>
          <xdr:row>40</xdr:row>
          <xdr:rowOff>184150</xdr:rowOff>
        </xdr:from>
        <xdr:to>
          <xdr:col>19</xdr:col>
          <xdr:colOff>730250</xdr:colOff>
          <xdr:row>42</xdr:row>
          <xdr:rowOff>0</xdr:rowOff>
        </xdr:to>
        <xdr:sp macro="" textlink="">
          <xdr:nvSpPr>
            <xdr:cNvPr id="1232" name="Option 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749300</xdr:colOff>
          <xdr:row>42</xdr:row>
          <xdr:rowOff>190500</xdr:rowOff>
        </xdr:from>
        <xdr:to>
          <xdr:col>21</xdr:col>
          <xdr:colOff>12700</xdr:colOff>
          <xdr:row>48</xdr:row>
          <xdr:rowOff>76200</xdr:rowOff>
        </xdr:to>
        <xdr:sp macro="" textlink="">
          <xdr:nvSpPr>
            <xdr:cNvPr id="1233" name="Group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Tapicerka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43</xdr:row>
          <xdr:rowOff>184150</xdr:rowOff>
        </xdr:from>
        <xdr:to>
          <xdr:col>19</xdr:col>
          <xdr:colOff>749300</xdr:colOff>
          <xdr:row>45</xdr:row>
          <xdr:rowOff>6350</xdr:rowOff>
        </xdr:to>
        <xdr:sp macro="" textlink="">
          <xdr:nvSpPr>
            <xdr:cNvPr id="1234" name="Option 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45</xdr:row>
          <xdr:rowOff>0</xdr:rowOff>
        </xdr:from>
        <xdr:to>
          <xdr:col>19</xdr:col>
          <xdr:colOff>749300</xdr:colOff>
          <xdr:row>46</xdr:row>
          <xdr:rowOff>12700</xdr:rowOff>
        </xdr:to>
        <xdr:sp macro="" textlink="">
          <xdr:nvSpPr>
            <xdr:cNvPr id="1235" name="Option 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45</xdr:row>
          <xdr:rowOff>190500</xdr:rowOff>
        </xdr:from>
        <xdr:to>
          <xdr:col>19</xdr:col>
          <xdr:colOff>736600</xdr:colOff>
          <xdr:row>47</xdr:row>
          <xdr:rowOff>12700</xdr:rowOff>
        </xdr:to>
        <xdr:sp macro="" textlink="">
          <xdr:nvSpPr>
            <xdr:cNvPr id="1236" name="Option 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46</xdr:row>
          <xdr:rowOff>196850</xdr:rowOff>
        </xdr:from>
        <xdr:to>
          <xdr:col>19</xdr:col>
          <xdr:colOff>736600</xdr:colOff>
          <xdr:row>48</xdr:row>
          <xdr:rowOff>12700</xdr:rowOff>
        </xdr:to>
        <xdr:sp macro="" textlink="">
          <xdr:nvSpPr>
            <xdr:cNvPr id="1238" name="Option 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48</xdr:row>
          <xdr:rowOff>177800</xdr:rowOff>
        </xdr:from>
        <xdr:to>
          <xdr:col>21</xdr:col>
          <xdr:colOff>25400</xdr:colOff>
          <xdr:row>57</xdr:row>
          <xdr:rowOff>63500</xdr:rowOff>
        </xdr:to>
        <xdr:sp macro="" textlink="">
          <xdr:nvSpPr>
            <xdr:cNvPr id="1239" name="Group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Dodatkowe pakiety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49</xdr:row>
          <xdr:rowOff>190500</xdr:rowOff>
        </xdr:from>
        <xdr:to>
          <xdr:col>19</xdr:col>
          <xdr:colOff>717550</xdr:colOff>
          <xdr:row>51</xdr:row>
          <xdr:rowOff>12700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50</xdr:row>
          <xdr:rowOff>190500</xdr:rowOff>
        </xdr:from>
        <xdr:to>
          <xdr:col>19</xdr:col>
          <xdr:colOff>723900</xdr:colOff>
          <xdr:row>52</xdr:row>
          <xdr:rowOff>12700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51</xdr:row>
          <xdr:rowOff>190500</xdr:rowOff>
        </xdr:from>
        <xdr:to>
          <xdr:col>19</xdr:col>
          <xdr:colOff>717550</xdr:colOff>
          <xdr:row>53</xdr:row>
          <xdr:rowOff>12700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52</xdr:row>
          <xdr:rowOff>190500</xdr:rowOff>
        </xdr:from>
        <xdr:to>
          <xdr:col>19</xdr:col>
          <xdr:colOff>717550</xdr:colOff>
          <xdr:row>54</xdr:row>
          <xdr:rowOff>12700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54</xdr:row>
          <xdr:rowOff>0</xdr:rowOff>
        </xdr:from>
        <xdr:to>
          <xdr:col>19</xdr:col>
          <xdr:colOff>711200</xdr:colOff>
          <xdr:row>55</xdr:row>
          <xdr:rowOff>25400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54</xdr:row>
          <xdr:rowOff>196850</xdr:rowOff>
        </xdr:from>
        <xdr:to>
          <xdr:col>19</xdr:col>
          <xdr:colOff>711200</xdr:colOff>
          <xdr:row>56</xdr:row>
          <xdr:rowOff>25400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56</xdr:row>
          <xdr:rowOff>0</xdr:rowOff>
        </xdr:from>
        <xdr:to>
          <xdr:col>19</xdr:col>
          <xdr:colOff>711200</xdr:colOff>
          <xdr:row>57</xdr:row>
          <xdr:rowOff>12700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</xdr:colOff>
          <xdr:row>57</xdr:row>
          <xdr:rowOff>31750</xdr:rowOff>
        </xdr:from>
        <xdr:to>
          <xdr:col>2</xdr:col>
          <xdr:colOff>914400</xdr:colOff>
          <xdr:row>61</xdr:row>
          <xdr:rowOff>38100</xdr:rowOff>
        </xdr:to>
        <xdr:sp macro="" textlink="">
          <xdr:nvSpPr>
            <xdr:cNvPr id="1248" name="Drop Dow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59</xdr:row>
          <xdr:rowOff>101600</xdr:rowOff>
        </xdr:from>
        <xdr:to>
          <xdr:col>8</xdr:col>
          <xdr:colOff>1016000</xdr:colOff>
          <xdr:row>63</xdr:row>
          <xdr:rowOff>107950</xdr:rowOff>
        </xdr:to>
        <xdr:sp macro="" textlink="">
          <xdr:nvSpPr>
            <xdr:cNvPr id="1250" name="Drop Dow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</xdr:colOff>
          <xdr:row>60</xdr:row>
          <xdr:rowOff>31750</xdr:rowOff>
        </xdr:from>
        <xdr:to>
          <xdr:col>14</xdr:col>
          <xdr:colOff>1098550</xdr:colOff>
          <xdr:row>64</xdr:row>
          <xdr:rowOff>38100</xdr:rowOff>
        </xdr:to>
        <xdr:sp macro="" textlink="">
          <xdr:nvSpPr>
            <xdr:cNvPr id="1251" name="Drop Dow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63</xdr:row>
          <xdr:rowOff>31750</xdr:rowOff>
        </xdr:from>
        <xdr:to>
          <xdr:col>20</xdr:col>
          <xdr:colOff>1060450</xdr:colOff>
          <xdr:row>67</xdr:row>
          <xdr:rowOff>38100</xdr:rowOff>
        </xdr:to>
        <xdr:sp macro="" textlink="">
          <xdr:nvSpPr>
            <xdr:cNvPr id="1252" name="Drop Dow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139700</xdr:colOff>
          <xdr:row>67</xdr:row>
          <xdr:rowOff>88900</xdr:rowOff>
        </xdr:from>
        <xdr:to>
          <xdr:col>5</xdr:col>
          <xdr:colOff>44450</xdr:colOff>
          <xdr:row>74</xdr:row>
          <xdr:rowOff>165100</xdr:rowOff>
        </xdr:to>
        <xdr:sp macro="" textlink="">
          <xdr:nvSpPr>
            <xdr:cNvPr id="1255" name="Group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Preferencja samochodu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1473200</xdr:colOff>
          <xdr:row>68</xdr:row>
          <xdr:rowOff>184150</xdr:rowOff>
        </xdr:from>
        <xdr:to>
          <xdr:col>2</xdr:col>
          <xdr:colOff>673100</xdr:colOff>
          <xdr:row>70</xdr:row>
          <xdr:rowOff>6350</xdr:rowOff>
        </xdr:to>
        <xdr:sp macro="" textlink="">
          <xdr:nvSpPr>
            <xdr:cNvPr id="1256" name="Option 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1473200</xdr:colOff>
          <xdr:row>70</xdr:row>
          <xdr:rowOff>6350</xdr:rowOff>
        </xdr:from>
        <xdr:to>
          <xdr:col>2</xdr:col>
          <xdr:colOff>673100</xdr:colOff>
          <xdr:row>71</xdr:row>
          <xdr:rowOff>25400</xdr:rowOff>
        </xdr:to>
        <xdr:sp macro="" textlink="">
          <xdr:nvSpPr>
            <xdr:cNvPr id="1257" name="Option 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1479550</xdr:colOff>
          <xdr:row>71</xdr:row>
          <xdr:rowOff>12700</xdr:rowOff>
        </xdr:from>
        <xdr:to>
          <xdr:col>2</xdr:col>
          <xdr:colOff>673100</xdr:colOff>
          <xdr:row>72</xdr:row>
          <xdr:rowOff>31750</xdr:rowOff>
        </xdr:to>
        <xdr:sp macro="" textlink="">
          <xdr:nvSpPr>
            <xdr:cNvPr id="1258" name="Option 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1479550</xdr:colOff>
          <xdr:row>72</xdr:row>
          <xdr:rowOff>12700</xdr:rowOff>
        </xdr:from>
        <xdr:to>
          <xdr:col>2</xdr:col>
          <xdr:colOff>673100</xdr:colOff>
          <xdr:row>73</xdr:row>
          <xdr:rowOff>31750</xdr:rowOff>
        </xdr:to>
        <xdr:sp macro="" textlink="">
          <xdr:nvSpPr>
            <xdr:cNvPr id="1259" name="Option 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1479550</xdr:colOff>
          <xdr:row>73</xdr:row>
          <xdr:rowOff>6350</xdr:rowOff>
        </xdr:from>
        <xdr:to>
          <xdr:col>2</xdr:col>
          <xdr:colOff>673100</xdr:colOff>
          <xdr:row>74</xdr:row>
          <xdr:rowOff>25400</xdr:rowOff>
        </xdr:to>
        <xdr:sp macro="" textlink="">
          <xdr:nvSpPr>
            <xdr:cNvPr id="1260" name="Option 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42</xdr:row>
          <xdr:rowOff>184150</xdr:rowOff>
        </xdr:from>
        <xdr:to>
          <xdr:col>1</xdr:col>
          <xdr:colOff>768350</xdr:colOff>
          <xdr:row>44</xdr:row>
          <xdr:rowOff>25400</xdr:rowOff>
        </xdr:to>
        <xdr:sp macro="" textlink="">
          <xdr:nvSpPr>
            <xdr:cNvPr id="1264" name="Option 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21</xdr:row>
          <xdr:rowOff>0</xdr:rowOff>
        </xdr:from>
        <xdr:to>
          <xdr:col>7</xdr:col>
          <xdr:colOff>787400</xdr:colOff>
          <xdr:row>22</xdr:row>
          <xdr:rowOff>25400</xdr:rowOff>
        </xdr:to>
        <xdr:sp macro="" textlink="">
          <xdr:nvSpPr>
            <xdr:cNvPr id="1265" name="Option 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</xdr:colOff>
          <xdr:row>62</xdr:row>
          <xdr:rowOff>12700</xdr:rowOff>
        </xdr:from>
        <xdr:to>
          <xdr:col>2</xdr:col>
          <xdr:colOff>908050</xdr:colOff>
          <xdr:row>64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120650</xdr:colOff>
          <xdr:row>64</xdr:row>
          <xdr:rowOff>19050</xdr:rowOff>
        </xdr:from>
        <xdr:to>
          <xdr:col>8</xdr:col>
          <xdr:colOff>882650</xdr:colOff>
          <xdr:row>66</xdr:row>
          <xdr:rowOff>6350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D9D00AA5-04D5-ED05-D600-2CE946F5E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292100</xdr:colOff>
          <xdr:row>65</xdr:row>
          <xdr:rowOff>0</xdr:rowOff>
        </xdr:from>
        <xdr:to>
          <xdr:col>14</xdr:col>
          <xdr:colOff>800100</xdr:colOff>
          <xdr:row>66</xdr:row>
          <xdr:rowOff>184150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BD6E338-0638-6A19-9005-79F2E6AA8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419100</xdr:colOff>
          <xdr:row>68</xdr:row>
          <xdr:rowOff>31750</xdr:rowOff>
        </xdr:from>
        <xdr:to>
          <xdr:col>20</xdr:col>
          <xdr:colOff>920750</xdr:colOff>
          <xdr:row>70</xdr:row>
          <xdr:rowOff>19050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ACC4798F-0E8D-B02A-9E0A-33F0D29B7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33453-7000-5345-A2F0-F20ADBC43D18}">
  <sheetPr codeName="Arkusz1"/>
  <dimension ref="A1:U115"/>
  <sheetViews>
    <sheetView tabSelected="1" zoomScaleNormal="100" workbookViewId="0">
      <selection activeCell="J21" sqref="J21"/>
    </sheetView>
  </sheetViews>
  <sheetFormatPr defaultColWidth="10.6640625" defaultRowHeight="15.5" x14ac:dyDescent="0.35"/>
  <cols>
    <col min="1" max="1" width="3.33203125" customWidth="1"/>
    <col min="2" max="2" width="23.6640625" customWidth="1"/>
    <col min="3" max="3" width="15.33203125" customWidth="1"/>
    <col min="4" max="4" width="13.6640625" customWidth="1"/>
    <col min="5" max="5" width="4.33203125" customWidth="1"/>
    <col min="6" max="6" width="6.58203125" customWidth="1"/>
    <col min="7" max="7" width="3.33203125" customWidth="1"/>
    <col min="8" max="8" width="25" customWidth="1"/>
    <col min="9" max="9" width="17" customWidth="1"/>
    <col min="10" max="10" width="13.5" customWidth="1"/>
    <col min="11" max="11" width="6.1640625" customWidth="1"/>
    <col min="12" max="12" width="4.1640625" customWidth="1"/>
    <col min="13" max="13" width="3.33203125" customWidth="1"/>
    <col min="14" max="14" width="28.33203125" customWidth="1"/>
    <col min="15" max="15" width="18" customWidth="1"/>
    <col min="17" max="17" width="6.08203125" customWidth="1"/>
    <col min="18" max="18" width="5.08203125" customWidth="1"/>
    <col min="19" max="19" width="3.33203125" customWidth="1"/>
    <col min="20" max="20" width="28.4140625" customWidth="1"/>
    <col min="21" max="21" width="17.58203125" customWidth="1"/>
  </cols>
  <sheetData>
    <row r="1" spans="1:21" ht="23.5" x14ac:dyDescent="0.55000000000000004">
      <c r="A1" s="26" t="s">
        <v>0</v>
      </c>
      <c r="B1" s="26"/>
      <c r="C1" s="26"/>
      <c r="D1" s="1"/>
      <c r="E1" s="1"/>
      <c r="G1" s="24" t="s">
        <v>26</v>
      </c>
      <c r="H1" s="24"/>
      <c r="I1" s="24"/>
      <c r="J1" s="1"/>
      <c r="K1" s="1"/>
      <c r="M1" s="26" t="s">
        <v>1</v>
      </c>
      <c r="N1" s="26"/>
      <c r="O1" s="26"/>
      <c r="S1" s="26" t="s">
        <v>2</v>
      </c>
      <c r="T1" s="26"/>
      <c r="U1" s="26"/>
    </row>
    <row r="2" spans="1:21" ht="23.5" x14ac:dyDescent="0.35">
      <c r="A2" s="24" t="s">
        <v>53</v>
      </c>
      <c r="B2" s="24"/>
      <c r="C2" s="24"/>
      <c r="G2" s="24" t="s">
        <v>27</v>
      </c>
      <c r="H2" s="24"/>
      <c r="I2" s="24"/>
      <c r="M2" s="24" t="s">
        <v>43</v>
      </c>
      <c r="N2" s="24"/>
      <c r="O2" s="24"/>
      <c r="S2" s="27" t="s">
        <v>56</v>
      </c>
      <c r="T2" s="27"/>
      <c r="U2" s="27"/>
    </row>
    <row r="16" spans="1:21" x14ac:dyDescent="0.35">
      <c r="A16" s="28" t="s">
        <v>51</v>
      </c>
      <c r="B16" s="28"/>
      <c r="C16" s="15">
        <v>226900</v>
      </c>
      <c r="D16" s="2"/>
      <c r="E16" s="2"/>
      <c r="G16" s="25" t="s">
        <v>51</v>
      </c>
      <c r="H16" s="25"/>
      <c r="I16" s="14">
        <v>211900</v>
      </c>
      <c r="M16" s="25" t="s">
        <v>51</v>
      </c>
      <c r="N16" s="25"/>
      <c r="O16" s="15">
        <v>212900</v>
      </c>
      <c r="T16" t="s">
        <v>47</v>
      </c>
      <c r="U16" s="12">
        <v>173900</v>
      </c>
    </row>
    <row r="17" spans="1:21" x14ac:dyDescent="0.35">
      <c r="T17" t="s">
        <v>48</v>
      </c>
      <c r="U17" s="12">
        <v>233900</v>
      </c>
    </row>
    <row r="18" spans="1:21" x14ac:dyDescent="0.35">
      <c r="A18" s="22"/>
      <c r="B18" s="22"/>
      <c r="C18" s="22"/>
      <c r="D18" s="1"/>
      <c r="E18" s="1"/>
      <c r="G18" s="23"/>
      <c r="H18" s="23"/>
      <c r="I18" s="23"/>
      <c r="J18" s="1"/>
      <c r="K18" s="1"/>
      <c r="N18" s="22" t="s">
        <v>3</v>
      </c>
      <c r="O18" s="22"/>
    </row>
    <row r="19" spans="1:21" x14ac:dyDescent="0.35">
      <c r="B19" t="s">
        <v>4</v>
      </c>
      <c r="C19" s="2">
        <v>0</v>
      </c>
      <c r="D19" s="2"/>
      <c r="E19" s="2"/>
      <c r="H19" t="s">
        <v>28</v>
      </c>
      <c r="I19" s="2">
        <v>0</v>
      </c>
      <c r="J19" s="2"/>
      <c r="K19" s="2"/>
      <c r="N19" t="s">
        <v>5</v>
      </c>
      <c r="O19" s="2">
        <v>0</v>
      </c>
      <c r="T19" s="22" t="s">
        <v>3</v>
      </c>
      <c r="U19" s="22"/>
    </row>
    <row r="20" spans="1:21" x14ac:dyDescent="0.35">
      <c r="B20" t="s">
        <v>5</v>
      </c>
      <c r="C20" s="2">
        <v>12000</v>
      </c>
      <c r="D20" s="2"/>
      <c r="E20" s="2"/>
      <c r="H20" t="s">
        <v>4</v>
      </c>
      <c r="I20" s="2">
        <v>12000</v>
      </c>
      <c r="J20" s="2"/>
      <c r="K20" s="2"/>
      <c r="N20" t="s">
        <v>6</v>
      </c>
      <c r="O20" s="2">
        <v>29000</v>
      </c>
      <c r="T20" t="s">
        <v>28</v>
      </c>
      <c r="U20" s="2">
        <v>0</v>
      </c>
    </row>
    <row r="21" spans="1:21" x14ac:dyDescent="0.35">
      <c r="B21" t="s">
        <v>6</v>
      </c>
      <c r="C21" s="2">
        <v>26700</v>
      </c>
      <c r="D21" s="2"/>
      <c r="E21" s="2"/>
      <c r="H21" t="s">
        <v>5</v>
      </c>
      <c r="I21" s="2">
        <v>33000</v>
      </c>
      <c r="J21" s="2"/>
      <c r="K21" s="2"/>
      <c r="T21" t="s">
        <v>4</v>
      </c>
      <c r="U21" s="2">
        <v>15000</v>
      </c>
    </row>
    <row r="22" spans="1:21" x14ac:dyDescent="0.35">
      <c r="H22" t="s">
        <v>6</v>
      </c>
      <c r="I22" s="2">
        <v>79000</v>
      </c>
      <c r="J22" s="2"/>
      <c r="K22" s="13"/>
      <c r="N22" s="22" t="s">
        <v>7</v>
      </c>
      <c r="O22" s="22"/>
      <c r="T22" t="s">
        <v>5</v>
      </c>
      <c r="U22" s="2">
        <v>37000</v>
      </c>
    </row>
    <row r="23" spans="1:21" x14ac:dyDescent="0.35">
      <c r="A23" s="22" t="s">
        <v>7</v>
      </c>
      <c r="B23" s="22"/>
      <c r="C23" s="22"/>
      <c r="D23" s="1"/>
      <c r="E23" s="1"/>
      <c r="N23" t="s">
        <v>29</v>
      </c>
      <c r="O23" s="2">
        <v>0</v>
      </c>
      <c r="T23" t="s">
        <v>6</v>
      </c>
      <c r="U23" s="2">
        <v>77000</v>
      </c>
    </row>
    <row r="24" spans="1:21" x14ac:dyDescent="0.35">
      <c r="B24" t="s">
        <v>29</v>
      </c>
      <c r="C24" s="2">
        <v>0</v>
      </c>
      <c r="D24" s="2"/>
      <c r="E24" s="2"/>
      <c r="H24" s="22" t="s">
        <v>7</v>
      </c>
      <c r="I24" s="22"/>
      <c r="J24" s="1"/>
      <c r="K24" s="1"/>
      <c r="N24" t="s">
        <v>30</v>
      </c>
      <c r="O24" s="2">
        <v>117000</v>
      </c>
    </row>
    <row r="25" spans="1:21" x14ac:dyDescent="0.35">
      <c r="B25" t="s">
        <v>30</v>
      </c>
      <c r="C25" s="2">
        <v>31000</v>
      </c>
      <c r="D25" s="2"/>
      <c r="E25" s="2"/>
      <c r="H25" t="s">
        <v>29</v>
      </c>
      <c r="I25" s="2">
        <v>0</v>
      </c>
      <c r="J25" s="2"/>
      <c r="K25" s="2"/>
      <c r="T25" s="22" t="s">
        <v>7</v>
      </c>
      <c r="U25" s="22"/>
    </row>
    <row r="26" spans="1:21" x14ac:dyDescent="0.35">
      <c r="H26" t="s">
        <v>30</v>
      </c>
      <c r="I26" s="2">
        <v>46000</v>
      </c>
      <c r="J26" s="2"/>
      <c r="N26" s="22" t="s">
        <v>8</v>
      </c>
      <c r="O26" s="22"/>
      <c r="T26" t="s">
        <v>29</v>
      </c>
      <c r="U26" s="2">
        <v>0</v>
      </c>
    </row>
    <row r="27" spans="1:21" x14ac:dyDescent="0.35">
      <c r="A27" s="22"/>
      <c r="B27" s="22"/>
      <c r="C27" s="22"/>
      <c r="D27" s="1"/>
      <c r="E27" s="1"/>
      <c r="M27" s="5"/>
      <c r="N27" t="s">
        <v>9</v>
      </c>
      <c r="O27" s="2">
        <v>0</v>
      </c>
      <c r="T27" t="s">
        <v>30</v>
      </c>
      <c r="U27" s="2">
        <v>72000</v>
      </c>
    </row>
    <row r="28" spans="1:21" x14ac:dyDescent="0.35">
      <c r="A28" s="5">
        <v>5</v>
      </c>
      <c r="B28" t="s">
        <v>9</v>
      </c>
      <c r="C28" s="2">
        <v>0</v>
      </c>
      <c r="D28" s="2"/>
      <c r="E28" s="2"/>
      <c r="G28" s="22" t="s">
        <v>8</v>
      </c>
      <c r="H28" s="22"/>
      <c r="I28" s="22"/>
      <c r="J28" s="1"/>
      <c r="K28" s="1"/>
      <c r="M28" s="6"/>
      <c r="N28" t="s">
        <v>10</v>
      </c>
      <c r="O28" s="2">
        <v>4250</v>
      </c>
    </row>
    <row r="29" spans="1:21" x14ac:dyDescent="0.35">
      <c r="A29" s="6"/>
      <c r="B29" t="s">
        <v>10</v>
      </c>
      <c r="C29" s="2">
        <v>3400</v>
      </c>
      <c r="D29" s="2"/>
      <c r="E29" s="2"/>
      <c r="G29" s="5"/>
      <c r="H29" t="s">
        <v>9</v>
      </c>
      <c r="I29" s="2">
        <v>0</v>
      </c>
      <c r="J29" s="2"/>
      <c r="K29" s="2"/>
      <c r="M29" s="7"/>
      <c r="N29" t="s">
        <v>11</v>
      </c>
      <c r="O29" s="2">
        <v>4250</v>
      </c>
      <c r="T29" s="22" t="s">
        <v>8</v>
      </c>
      <c r="U29" s="22"/>
    </row>
    <row r="30" spans="1:21" x14ac:dyDescent="0.35">
      <c r="A30" s="7"/>
      <c r="B30" t="s">
        <v>11</v>
      </c>
      <c r="C30" s="2">
        <v>3400</v>
      </c>
      <c r="D30" s="2"/>
      <c r="E30" s="2"/>
      <c r="G30" s="6"/>
      <c r="H30" t="s">
        <v>10</v>
      </c>
      <c r="I30" s="2">
        <v>4200</v>
      </c>
      <c r="J30" s="2"/>
      <c r="K30" s="2"/>
      <c r="M30" s="8"/>
      <c r="N30" t="s">
        <v>12</v>
      </c>
      <c r="O30" s="2">
        <v>4250</v>
      </c>
      <c r="S30" s="5"/>
      <c r="T30" t="s">
        <v>9</v>
      </c>
      <c r="U30" s="2">
        <v>0</v>
      </c>
    </row>
    <row r="31" spans="1:21" x14ac:dyDescent="0.35">
      <c r="A31" s="8"/>
      <c r="B31" t="s">
        <v>12</v>
      </c>
      <c r="C31" s="2">
        <v>3400</v>
      </c>
      <c r="D31" s="2"/>
      <c r="E31" s="2"/>
      <c r="G31" s="7"/>
      <c r="H31" t="s">
        <v>11</v>
      </c>
      <c r="I31" s="2">
        <v>4200</v>
      </c>
      <c r="J31" s="2"/>
      <c r="K31" s="2"/>
      <c r="M31" s="9"/>
      <c r="N31" t="s">
        <v>13</v>
      </c>
      <c r="O31" s="2">
        <v>4250</v>
      </c>
      <c r="S31" s="6"/>
      <c r="T31" t="s">
        <v>10</v>
      </c>
      <c r="U31" s="2">
        <v>4250</v>
      </c>
    </row>
    <row r="32" spans="1:21" x14ac:dyDescent="0.35">
      <c r="A32" s="9"/>
      <c r="B32" t="s">
        <v>13</v>
      </c>
      <c r="C32" s="2">
        <v>3400</v>
      </c>
      <c r="D32" s="2"/>
      <c r="E32" s="2"/>
      <c r="G32" s="8"/>
      <c r="H32" t="s">
        <v>12</v>
      </c>
      <c r="I32" s="2">
        <v>4200</v>
      </c>
      <c r="J32" s="2"/>
      <c r="K32" s="2"/>
      <c r="M32" s="10"/>
      <c r="N32" t="s">
        <v>14</v>
      </c>
      <c r="O32" s="2">
        <v>4250</v>
      </c>
      <c r="S32" s="7"/>
      <c r="T32" t="s">
        <v>11</v>
      </c>
      <c r="U32" s="2">
        <v>4250</v>
      </c>
    </row>
    <row r="33" spans="1:21" x14ac:dyDescent="0.35">
      <c r="A33" s="10"/>
      <c r="B33" t="s">
        <v>14</v>
      </c>
      <c r="C33" s="2">
        <v>3400</v>
      </c>
      <c r="D33" s="2"/>
      <c r="E33" s="2"/>
      <c r="G33" s="9"/>
      <c r="H33" t="s">
        <v>13</v>
      </c>
      <c r="I33" s="2">
        <v>4200</v>
      </c>
      <c r="J33" s="2"/>
      <c r="K33" s="2"/>
      <c r="N33" t="s">
        <v>15</v>
      </c>
      <c r="O33" s="2">
        <v>4250</v>
      </c>
      <c r="S33" s="8"/>
      <c r="T33" t="s">
        <v>12</v>
      </c>
      <c r="U33" s="2">
        <v>4250</v>
      </c>
    </row>
    <row r="34" spans="1:21" x14ac:dyDescent="0.35">
      <c r="B34" t="s">
        <v>79</v>
      </c>
      <c r="C34" s="2">
        <v>6350</v>
      </c>
      <c r="D34" s="2"/>
      <c r="E34" s="2"/>
      <c r="G34" s="10"/>
      <c r="H34" t="s">
        <v>14</v>
      </c>
      <c r="I34" s="2">
        <v>4200</v>
      </c>
      <c r="J34" s="2"/>
      <c r="K34" s="2"/>
      <c r="M34" s="11"/>
      <c r="N34" t="s">
        <v>16</v>
      </c>
      <c r="O34" s="2">
        <v>4250</v>
      </c>
      <c r="S34" s="9"/>
      <c r="T34" t="s">
        <v>13</v>
      </c>
      <c r="U34" s="2">
        <v>4250</v>
      </c>
    </row>
    <row r="35" spans="1:21" x14ac:dyDescent="0.35">
      <c r="A35" s="11"/>
      <c r="B35" t="s">
        <v>16</v>
      </c>
      <c r="C35" s="2">
        <v>4900</v>
      </c>
      <c r="D35" s="2"/>
      <c r="E35" s="2"/>
      <c r="H35" t="s">
        <v>15</v>
      </c>
      <c r="I35" s="2">
        <v>6350</v>
      </c>
      <c r="J35" s="2"/>
      <c r="K35" s="2"/>
      <c r="S35" s="10"/>
      <c r="T35" t="s">
        <v>14</v>
      </c>
      <c r="U35" s="2">
        <v>4250</v>
      </c>
    </row>
    <row r="36" spans="1:21" x14ac:dyDescent="0.35">
      <c r="G36" s="11"/>
      <c r="H36" t="s">
        <v>16</v>
      </c>
      <c r="I36" s="2">
        <v>4200</v>
      </c>
      <c r="J36" s="2"/>
      <c r="N36" s="23" t="s">
        <v>17</v>
      </c>
      <c r="O36" s="23"/>
      <c r="T36" t="s">
        <v>15</v>
      </c>
      <c r="U36" s="2">
        <v>4250</v>
      </c>
    </row>
    <row r="37" spans="1:21" x14ac:dyDescent="0.35">
      <c r="A37" s="23"/>
      <c r="B37" s="23"/>
      <c r="C37" s="23"/>
      <c r="D37" s="3"/>
      <c r="E37" s="3"/>
      <c r="N37" t="s">
        <v>31</v>
      </c>
      <c r="O37" s="2">
        <v>0</v>
      </c>
      <c r="S37" s="11"/>
      <c r="T37" t="s">
        <v>16</v>
      </c>
      <c r="U37" s="2">
        <v>4250</v>
      </c>
    </row>
    <row r="38" spans="1:21" x14ac:dyDescent="0.35">
      <c r="B38" t="s">
        <v>32</v>
      </c>
      <c r="C38" s="2">
        <v>0</v>
      </c>
      <c r="D38" s="2"/>
      <c r="E38" s="2"/>
      <c r="G38" s="23" t="s">
        <v>17</v>
      </c>
      <c r="H38" s="23"/>
      <c r="I38" s="23"/>
      <c r="J38" s="3"/>
      <c r="K38" s="3"/>
      <c r="N38" t="s">
        <v>32</v>
      </c>
      <c r="O38" s="2">
        <v>3700</v>
      </c>
    </row>
    <row r="39" spans="1:21" x14ac:dyDescent="0.35">
      <c r="B39" t="s">
        <v>18</v>
      </c>
      <c r="C39" s="2">
        <v>3150</v>
      </c>
      <c r="D39" s="2"/>
      <c r="E39" s="2"/>
      <c r="H39" t="s">
        <v>31</v>
      </c>
      <c r="I39" s="2">
        <v>0</v>
      </c>
      <c r="J39" s="2"/>
      <c r="K39" s="2"/>
      <c r="N39" t="s">
        <v>18</v>
      </c>
      <c r="O39" s="2">
        <v>9300</v>
      </c>
      <c r="T39" s="23" t="s">
        <v>17</v>
      </c>
      <c r="U39" s="23"/>
    </row>
    <row r="40" spans="1:21" x14ac:dyDescent="0.35">
      <c r="H40" t="s">
        <v>32</v>
      </c>
      <c r="I40" s="2">
        <v>4700</v>
      </c>
      <c r="J40" s="2"/>
      <c r="T40" t="s">
        <v>41</v>
      </c>
      <c r="U40" s="2">
        <v>0</v>
      </c>
    </row>
    <row r="41" spans="1:21" x14ac:dyDescent="0.35">
      <c r="A41" s="22"/>
      <c r="B41" s="22"/>
      <c r="C41" s="22"/>
      <c r="D41" s="1"/>
      <c r="E41" s="1"/>
      <c r="N41" s="22" t="s">
        <v>19</v>
      </c>
      <c r="O41" s="22"/>
      <c r="T41" t="s">
        <v>42</v>
      </c>
      <c r="U41" s="2">
        <v>3700</v>
      </c>
    </row>
    <row r="42" spans="1:21" x14ac:dyDescent="0.35">
      <c r="B42" t="s">
        <v>20</v>
      </c>
      <c r="C42" s="2">
        <v>0</v>
      </c>
      <c r="D42" s="2"/>
      <c r="E42" s="2"/>
      <c r="G42" s="22" t="s">
        <v>19</v>
      </c>
      <c r="H42" s="22"/>
      <c r="I42" s="22"/>
      <c r="J42" s="1"/>
      <c r="K42" s="1"/>
      <c r="N42" t="s">
        <v>35</v>
      </c>
      <c r="O42" s="2">
        <v>0</v>
      </c>
      <c r="T42" t="s">
        <v>32</v>
      </c>
      <c r="U42" s="2">
        <v>7400</v>
      </c>
    </row>
    <row r="43" spans="1:21" x14ac:dyDescent="0.35">
      <c r="B43" t="s">
        <v>76</v>
      </c>
      <c r="C43" s="2">
        <v>7500</v>
      </c>
      <c r="D43" s="2"/>
      <c r="E43" s="2"/>
      <c r="H43" t="s">
        <v>33</v>
      </c>
      <c r="I43" s="2">
        <v>0</v>
      </c>
      <c r="J43" s="2"/>
      <c r="K43" s="2"/>
      <c r="N43" t="s">
        <v>36</v>
      </c>
      <c r="O43" s="2">
        <v>0</v>
      </c>
    </row>
    <row r="44" spans="1:21" x14ac:dyDescent="0.35">
      <c r="B44" t="s">
        <v>77</v>
      </c>
      <c r="C44" s="2">
        <v>8500</v>
      </c>
      <c r="D44" s="2"/>
      <c r="E44" s="2"/>
      <c r="H44" s="4" t="s">
        <v>34</v>
      </c>
      <c r="I44" s="2">
        <v>0</v>
      </c>
      <c r="J44" s="2"/>
      <c r="K44" s="2"/>
      <c r="N44" t="s">
        <v>45</v>
      </c>
      <c r="O44" s="2">
        <v>1900</v>
      </c>
      <c r="T44" s="22" t="s">
        <v>19</v>
      </c>
      <c r="U44" s="22"/>
    </row>
    <row r="45" spans="1:21" x14ac:dyDescent="0.35">
      <c r="B45" t="s">
        <v>21</v>
      </c>
      <c r="C45" s="2">
        <v>8800</v>
      </c>
      <c r="D45" s="2"/>
      <c r="E45" s="2"/>
      <c r="H45" t="s">
        <v>35</v>
      </c>
      <c r="I45" s="2">
        <v>7500</v>
      </c>
      <c r="J45" s="2"/>
      <c r="K45" s="2"/>
      <c r="N45" t="s">
        <v>46</v>
      </c>
      <c r="O45" s="2">
        <v>13200</v>
      </c>
      <c r="T45" t="s">
        <v>33</v>
      </c>
      <c r="U45" s="2">
        <v>0</v>
      </c>
    </row>
    <row r="46" spans="1:21" x14ac:dyDescent="0.35">
      <c r="B46" t="s">
        <v>78</v>
      </c>
      <c r="C46" s="2">
        <v>10700</v>
      </c>
      <c r="E46" s="2"/>
      <c r="H46" t="s">
        <v>36</v>
      </c>
      <c r="I46" s="2">
        <v>8200</v>
      </c>
      <c r="J46" s="2"/>
      <c r="O46" s="2"/>
      <c r="T46" t="s">
        <v>34</v>
      </c>
      <c r="U46" s="2">
        <v>0</v>
      </c>
    </row>
    <row r="47" spans="1:21" x14ac:dyDescent="0.35">
      <c r="I47" s="2"/>
      <c r="J47" s="2"/>
      <c r="K47" s="2"/>
      <c r="N47" s="22" t="s">
        <v>22</v>
      </c>
      <c r="O47" s="22"/>
      <c r="T47" t="s">
        <v>35</v>
      </c>
      <c r="U47" s="2">
        <v>8500</v>
      </c>
    </row>
    <row r="48" spans="1:21" x14ac:dyDescent="0.35">
      <c r="A48" s="22" t="s">
        <v>22</v>
      </c>
      <c r="B48" s="22"/>
      <c r="C48" s="22"/>
      <c r="D48" s="1"/>
      <c r="E48" s="1"/>
      <c r="G48" s="22" t="s">
        <v>22</v>
      </c>
      <c r="H48" s="22"/>
      <c r="I48" s="22"/>
      <c r="J48" s="1"/>
      <c r="K48" s="1"/>
      <c r="N48" t="s">
        <v>25</v>
      </c>
      <c r="O48" s="2">
        <v>1850</v>
      </c>
      <c r="T48" t="s">
        <v>36</v>
      </c>
      <c r="U48" s="2">
        <v>8500</v>
      </c>
    </row>
    <row r="49" spans="1:21" x14ac:dyDescent="0.35">
      <c r="B49" t="s">
        <v>25</v>
      </c>
      <c r="C49" s="2">
        <v>1850</v>
      </c>
      <c r="D49" s="2"/>
      <c r="E49" s="2"/>
      <c r="H49" t="s">
        <v>25</v>
      </c>
      <c r="I49" s="2">
        <v>1850</v>
      </c>
      <c r="J49" s="2"/>
      <c r="K49" s="2"/>
      <c r="N49" t="s">
        <v>23</v>
      </c>
      <c r="O49" s="2">
        <v>3500</v>
      </c>
      <c r="U49" s="2"/>
    </row>
    <row r="50" spans="1:21" x14ac:dyDescent="0.35">
      <c r="B50" t="s">
        <v>23</v>
      </c>
      <c r="C50" s="2">
        <v>4700</v>
      </c>
      <c r="D50" s="2"/>
      <c r="E50" s="2"/>
      <c r="H50" t="s">
        <v>23</v>
      </c>
      <c r="I50" s="2">
        <v>3500</v>
      </c>
      <c r="J50" s="2"/>
      <c r="K50" s="2"/>
      <c r="N50" t="s">
        <v>24</v>
      </c>
      <c r="O50" s="2">
        <v>1450</v>
      </c>
      <c r="T50" s="23" t="s">
        <v>22</v>
      </c>
      <c r="U50" s="23"/>
    </row>
    <row r="51" spans="1:21" x14ac:dyDescent="0.35">
      <c r="B51" t="s">
        <v>24</v>
      </c>
      <c r="C51" s="2">
        <v>1440</v>
      </c>
      <c r="D51" s="2"/>
      <c r="E51" s="2"/>
      <c r="H51" t="s">
        <v>24</v>
      </c>
      <c r="I51" s="2">
        <v>2270</v>
      </c>
      <c r="J51" s="2"/>
      <c r="K51" s="2"/>
      <c r="N51" t="s">
        <v>37</v>
      </c>
      <c r="O51" s="2">
        <v>6200</v>
      </c>
      <c r="T51" t="s">
        <v>25</v>
      </c>
      <c r="U51" s="2">
        <v>1850</v>
      </c>
    </row>
    <row r="52" spans="1:21" x14ac:dyDescent="0.35">
      <c r="H52" t="s">
        <v>37</v>
      </c>
      <c r="I52" s="2">
        <v>6200</v>
      </c>
      <c r="J52" s="2"/>
      <c r="K52" s="2"/>
      <c r="N52" t="s">
        <v>38</v>
      </c>
      <c r="O52" s="2">
        <v>3300</v>
      </c>
      <c r="T52" t="s">
        <v>23</v>
      </c>
      <c r="U52" s="2">
        <v>3500</v>
      </c>
    </row>
    <row r="53" spans="1:21" x14ac:dyDescent="0.35">
      <c r="A53" s="28" t="s">
        <v>52</v>
      </c>
      <c r="B53" s="28"/>
      <c r="C53" s="16">
        <f>SUM(C16,Konfigurator!C5,Konfigurator!C6,Konfigurator!C7,Konfigurator!C8,Konfigurator!C9,Konfigurator!C11,Konfigurator!C12,Konfigurator!C13)</f>
        <v>301850</v>
      </c>
      <c r="H53" t="s">
        <v>38</v>
      </c>
      <c r="I53" s="2">
        <v>3300</v>
      </c>
      <c r="J53" s="2"/>
      <c r="K53" s="2"/>
      <c r="N53" t="s">
        <v>39</v>
      </c>
      <c r="O53" s="2">
        <v>5720</v>
      </c>
      <c r="T53" t="s">
        <v>24</v>
      </c>
      <c r="U53" s="2">
        <v>1450</v>
      </c>
    </row>
    <row r="54" spans="1:21" x14ac:dyDescent="0.35">
      <c r="A54" s="28" t="s">
        <v>50</v>
      </c>
      <c r="B54" s="28"/>
      <c r="C54" s="17">
        <f>SUM(C53*0.23)</f>
        <v>69425.5</v>
      </c>
      <c r="H54" t="s">
        <v>39</v>
      </c>
      <c r="I54" s="2">
        <v>5720</v>
      </c>
      <c r="J54" s="2"/>
      <c r="K54" s="2"/>
      <c r="N54" t="s">
        <v>44</v>
      </c>
      <c r="O54" s="2">
        <v>6550</v>
      </c>
      <c r="T54" t="s">
        <v>37</v>
      </c>
      <c r="U54" s="2">
        <v>6200</v>
      </c>
    </row>
    <row r="55" spans="1:21" x14ac:dyDescent="0.35">
      <c r="A55" s="25" t="s">
        <v>65</v>
      </c>
      <c r="B55" s="25"/>
      <c r="C55" s="20">
        <f>IF(Konfigurator!H6=1,C53-(C53*1.2%),IF(Konfigurator!H6=2,C53-(C53*1.4%),IF(Konfigurator!H6=3,C53-(C53*1.8%),IF(Konfigurator!H6=4,C53-(C53*3%),IF(Konfigurator!H6=5,C53-(C53*0.8%),C53-(C53*2.6%))))))</f>
        <v>294001.90000000002</v>
      </c>
      <c r="O55" s="2"/>
      <c r="T55" t="s">
        <v>38</v>
      </c>
      <c r="U55" s="2">
        <v>3300</v>
      </c>
    </row>
    <row r="56" spans="1:21" x14ac:dyDescent="0.35">
      <c r="A56" s="25" t="s">
        <v>68</v>
      </c>
      <c r="B56" s="25"/>
      <c r="C56" s="20">
        <f>IF(Konfigurator!H6=1,C53*1.2%,IF(Konfigurator!H6=2,C53*1.4%,IF(Konfigurator!H6=3,C53*1.8%,IF(Konfigurator!H6=4,C53*3%,IF(Konfigurator!H6=5,C53*0.8%,C53*2.6%)))))</f>
        <v>7848.1</v>
      </c>
      <c r="G56" s="25" t="s">
        <v>52</v>
      </c>
      <c r="H56" s="25"/>
      <c r="I56" s="16">
        <f>SUM(I16,Konfigurator!C18,Konfigurator!C19,Konfigurator!C20,Konfigurator!C21,Konfigurator!C22,Konfigurator!C24,Konfigurator!C25,Konfigurator!C26,Konfigurator!C27,Konfigurator!C28,Konfigurator!C29)</f>
        <v>354000</v>
      </c>
      <c r="M56" s="28" t="s">
        <v>49</v>
      </c>
      <c r="N56" s="28"/>
      <c r="O56" s="18">
        <f>SUM(O16,Konfigurator!C34,Konfigurator!C35,Konfigurator!C36,Konfigurator!C37,Konfigurator!C38,Konfigurator!C40,Konfigurator!C41,Konfigurator!C42,Konfigurator!C43,Konfigurator!C44,Konfigurator!C45,Konfigurator!C46)</f>
        <v>385650</v>
      </c>
      <c r="T56" t="s">
        <v>39</v>
      </c>
      <c r="U56" s="2">
        <v>5720</v>
      </c>
    </row>
    <row r="57" spans="1:21" x14ac:dyDescent="0.35">
      <c r="G57" s="25" t="s">
        <v>50</v>
      </c>
      <c r="H57" s="25"/>
      <c r="I57" s="17">
        <f>SUM(I56*0.23)</f>
        <v>81420</v>
      </c>
      <c r="M57" s="28" t="s">
        <v>50</v>
      </c>
      <c r="N57" s="28"/>
      <c r="O57" s="19">
        <f>SUM(O56*0.23)</f>
        <v>88699.5</v>
      </c>
      <c r="T57" t="s">
        <v>40</v>
      </c>
      <c r="U57" s="2">
        <v>5000</v>
      </c>
    </row>
    <row r="58" spans="1:21" x14ac:dyDescent="0.35">
      <c r="G58" s="25" t="s">
        <v>65</v>
      </c>
      <c r="H58" s="25"/>
      <c r="I58" s="21">
        <f>IF(Konfigurator!H6=1,I56-(I56*1.2%),IF(Konfigurator!H6=2,I56-(I56*1.4%),IF(Konfigurator!H6=3,I56-(I56*1.8%),IF(Konfigurator!H6=4,I56-(I56*3%),IF(Konfigurator!H6=5,I56-(I56*0.8%),I56-(I56*2.6%))))))</f>
        <v>344796</v>
      </c>
      <c r="M58" s="25" t="s">
        <v>65</v>
      </c>
      <c r="N58" s="25"/>
      <c r="O58" s="20">
        <f>IF(Konfigurator!H6=1,O56-(O56*1.2%),IF(Konfigurator!H6=2,O56-(O56*1.4%),IF(Konfigurator!H6=3,O56-(O56*1.8%),IF(Konfigurator!H6=4,O56-(O56*3%),IF(Konfigurator!H6=5,O56-(O56*0.8%),O56-(O56*2.6%))))))</f>
        <v>375623.1</v>
      </c>
    </row>
    <row r="59" spans="1:21" x14ac:dyDescent="0.35">
      <c r="G59" s="25" t="s">
        <v>68</v>
      </c>
      <c r="H59" s="25"/>
      <c r="I59" s="21">
        <f>IF(Konfigurator!H6=1,I56*1.2%,IF(Konfigurator!H6=2,I56*1.4%,IF(Konfigurator!H6=3,I56*1.8%,IF(Konfigurator!H6=4,I56*3%,IF(Konfigurator!H6=5,I56*0.8%,I56*2.6%)))))</f>
        <v>9204</v>
      </c>
      <c r="M59" s="25" t="s">
        <v>68</v>
      </c>
      <c r="N59" s="25"/>
      <c r="O59" s="20">
        <f>IF(Konfigurator!H6=1,O56*1.2%,IF(Konfigurator!H6=2,O56*1.4%,IF(Konfigurator!H6=3,O56*1.8%,IF(Konfigurator!H6=4,O56*3%,IF(Konfigurator!H6=5,O56*0.8%,O56*2.6%)))))</f>
        <v>10026.900000000001</v>
      </c>
      <c r="S59" s="25" t="s">
        <v>52</v>
      </c>
      <c r="T59" s="25"/>
      <c r="U59" s="16">
        <f>SUM(Konfigurator!C51,Konfigurator!C52,Konfigurator!C53:C56,Konfigurator!C58,Konfigurator!C59,Konfigurator!C60,Konfigurator!C61,Konfigurator!C62,Konfigurator!C63,Konfigurator!C64)</f>
        <v>402950</v>
      </c>
    </row>
    <row r="60" spans="1:21" x14ac:dyDescent="0.35">
      <c r="S60" s="25" t="s">
        <v>50</v>
      </c>
      <c r="T60" s="25"/>
      <c r="U60" s="17">
        <f>SUM(U59*0.23)</f>
        <v>92678.5</v>
      </c>
    </row>
    <row r="61" spans="1:21" x14ac:dyDescent="0.35">
      <c r="S61" s="25" t="s">
        <v>66</v>
      </c>
      <c r="T61" s="25"/>
      <c r="U61" s="20">
        <f>IF(Konfigurator!H6=1,U59-(U59*1.2%),IF(Konfigurator!H6=2,U59-(U59*1.4%),IF(Konfigurator!H6=3,U59-(U59*1.8%),IF(Konfigurator!H6=4,U59-(U59*3%),IF(Konfigurator!H6=5,U59-(U59*0.8%),U59-(U59*2.6%))))))</f>
        <v>392473.3</v>
      </c>
    </row>
    <row r="62" spans="1:21" x14ac:dyDescent="0.35">
      <c r="S62" s="25" t="s">
        <v>67</v>
      </c>
      <c r="T62" s="25"/>
      <c r="U62" s="20">
        <f>IF(Konfigurator!H6=1,U59*1.2%,IF(Konfigurator!H6=2,U59*1.4%,IF(Konfigurator!H6=3,U59*1.8%,IF(Konfigurator!H6=4,U59*3%,IF(Konfigurator!H6=5,U59*0.8%,U59*2.6%)))))</f>
        <v>10476.700000000001</v>
      </c>
    </row>
    <row r="69" spans="2:20" x14ac:dyDescent="0.35">
      <c r="C69" s="29" t="s">
        <v>74</v>
      </c>
      <c r="D69" s="29"/>
    </row>
    <row r="70" spans="2:20" x14ac:dyDescent="0.35">
      <c r="B70" t="s">
        <v>69</v>
      </c>
      <c r="C70" s="30" t="str" cm="1">
        <f t="array" ref="C70">IF(Konfigurator!I18="","",INDEX(Konfigurator!H18:H22,Konfigurator!I18))</f>
        <v/>
      </c>
      <c r="D70" s="30"/>
    </row>
    <row r="71" spans="2:20" x14ac:dyDescent="0.35">
      <c r="B71" t="s">
        <v>70</v>
      </c>
      <c r="C71" s="30"/>
      <c r="D71" s="30"/>
    </row>
    <row r="72" spans="2:20" x14ac:dyDescent="0.35">
      <c r="B72" t="s">
        <v>71</v>
      </c>
      <c r="C72" s="30"/>
      <c r="D72" s="30"/>
    </row>
    <row r="73" spans="2:20" x14ac:dyDescent="0.35">
      <c r="B73" t="s">
        <v>72</v>
      </c>
      <c r="C73" s="30"/>
      <c r="D73" s="30"/>
    </row>
    <row r="74" spans="2:20" x14ac:dyDescent="0.35">
      <c r="B74" t="s">
        <v>73</v>
      </c>
      <c r="C74" s="30"/>
      <c r="D74" s="30"/>
      <c r="H74" s="3"/>
    </row>
    <row r="76" spans="2:20" x14ac:dyDescent="0.35">
      <c r="D76" s="1"/>
      <c r="E76" s="1"/>
      <c r="H76" s="22"/>
      <c r="I76" s="22"/>
      <c r="J76" s="1"/>
      <c r="K76" s="1"/>
      <c r="N76" s="22"/>
      <c r="O76" s="22"/>
    </row>
    <row r="77" spans="2:20" x14ac:dyDescent="0.35">
      <c r="C77" s="2"/>
      <c r="D77" s="2"/>
      <c r="E77" s="2"/>
      <c r="I77" s="2"/>
      <c r="J77" s="2"/>
      <c r="K77" s="2"/>
      <c r="O77" s="2"/>
      <c r="S77" s="22"/>
      <c r="T77" s="22"/>
    </row>
    <row r="78" spans="2:20" x14ac:dyDescent="0.35">
      <c r="C78" s="2"/>
      <c r="D78" s="2"/>
      <c r="E78" s="2"/>
      <c r="I78" s="2"/>
      <c r="J78" s="2"/>
      <c r="K78" s="2"/>
      <c r="O78" s="2"/>
      <c r="T78" s="2"/>
    </row>
    <row r="79" spans="2:20" x14ac:dyDescent="0.35">
      <c r="C79" s="2"/>
      <c r="D79" s="2"/>
      <c r="E79" s="2"/>
      <c r="I79" s="2"/>
      <c r="J79" s="2"/>
      <c r="K79" s="2"/>
      <c r="T79" s="2"/>
    </row>
    <row r="80" spans="2:20" x14ac:dyDescent="0.35">
      <c r="C80" s="2"/>
      <c r="D80" s="2"/>
      <c r="E80" s="2"/>
      <c r="N80" s="22"/>
      <c r="O80" s="22"/>
      <c r="T80" s="2"/>
    </row>
    <row r="81" spans="2:20" x14ac:dyDescent="0.35">
      <c r="O81" s="2"/>
      <c r="T81" s="2"/>
    </row>
    <row r="82" spans="2:20" x14ac:dyDescent="0.35">
      <c r="B82" s="22"/>
      <c r="C82" s="22"/>
      <c r="D82" s="1"/>
      <c r="E82" s="1"/>
      <c r="H82" s="22"/>
      <c r="I82" s="22"/>
      <c r="J82" s="1"/>
      <c r="K82" s="1"/>
      <c r="O82" s="2"/>
    </row>
    <row r="83" spans="2:20" x14ac:dyDescent="0.35">
      <c r="C83" s="2"/>
      <c r="D83" s="2"/>
      <c r="E83" s="2"/>
      <c r="I83" s="2"/>
      <c r="J83" s="2"/>
      <c r="K83" s="2"/>
      <c r="O83" s="2"/>
      <c r="S83" s="22"/>
      <c r="T83" s="22"/>
    </row>
    <row r="84" spans="2:20" x14ac:dyDescent="0.35">
      <c r="C84" s="2"/>
      <c r="D84" s="2"/>
      <c r="E84" s="2"/>
      <c r="I84" s="2"/>
      <c r="J84" s="2"/>
      <c r="K84" s="2"/>
      <c r="T84" s="2"/>
    </row>
    <row r="85" spans="2:20" x14ac:dyDescent="0.35">
      <c r="C85" s="2"/>
      <c r="D85" s="2"/>
      <c r="E85" s="2"/>
      <c r="N85" s="22"/>
      <c r="O85" s="22"/>
      <c r="T85" s="2"/>
    </row>
    <row r="86" spans="2:20" x14ac:dyDescent="0.35">
      <c r="O86" s="2"/>
      <c r="T86" s="2"/>
    </row>
    <row r="87" spans="2:20" x14ac:dyDescent="0.35">
      <c r="B87" s="22"/>
      <c r="C87" s="22"/>
      <c r="D87" s="1"/>
      <c r="E87" s="1"/>
      <c r="H87" s="22"/>
      <c r="I87" s="22"/>
      <c r="J87" s="1"/>
      <c r="K87" s="1"/>
      <c r="O87" s="2"/>
    </row>
    <row r="88" spans="2:20" x14ac:dyDescent="0.35">
      <c r="C88" s="2"/>
      <c r="D88" s="2"/>
      <c r="E88" s="2"/>
      <c r="I88" s="2"/>
      <c r="J88" s="2"/>
      <c r="K88" s="2"/>
      <c r="O88" s="2"/>
      <c r="S88" s="22"/>
      <c r="T88" s="22"/>
    </row>
    <row r="89" spans="2:20" x14ac:dyDescent="0.35">
      <c r="C89" s="2"/>
      <c r="D89" s="2"/>
      <c r="E89" s="2"/>
      <c r="I89" s="2"/>
      <c r="J89" s="2"/>
      <c r="K89" s="2"/>
      <c r="O89" s="2"/>
      <c r="T89" s="2"/>
    </row>
    <row r="90" spans="2:20" x14ac:dyDescent="0.35">
      <c r="C90" s="2"/>
      <c r="D90" s="2"/>
      <c r="E90" s="2"/>
      <c r="I90" s="2"/>
      <c r="J90" s="2"/>
      <c r="K90" s="2"/>
      <c r="O90" s="2"/>
      <c r="T90" s="2"/>
    </row>
    <row r="91" spans="2:20" x14ac:dyDescent="0.35">
      <c r="C91" s="2"/>
      <c r="D91" s="2"/>
      <c r="E91" s="2"/>
      <c r="I91" s="2"/>
      <c r="J91" s="2"/>
      <c r="K91" s="2"/>
      <c r="O91" s="2"/>
      <c r="T91" s="2"/>
    </row>
    <row r="92" spans="2:20" x14ac:dyDescent="0.35">
      <c r="C92" s="2"/>
      <c r="D92" s="2"/>
      <c r="E92" s="2"/>
      <c r="I92" s="2"/>
      <c r="J92" s="2"/>
      <c r="K92" s="2"/>
      <c r="O92" s="2"/>
      <c r="T92" s="2"/>
    </row>
    <row r="93" spans="2:20" x14ac:dyDescent="0.35">
      <c r="B93" s="23"/>
      <c r="C93" s="23"/>
      <c r="D93" s="3"/>
      <c r="E93" s="3"/>
      <c r="I93" s="2"/>
      <c r="J93" s="2"/>
      <c r="K93" s="2"/>
      <c r="O93" s="2"/>
      <c r="T93" s="2"/>
    </row>
    <row r="94" spans="2:20" x14ac:dyDescent="0.35">
      <c r="C94" s="2"/>
      <c r="D94" s="2"/>
      <c r="E94" s="2"/>
      <c r="I94" s="2"/>
      <c r="J94" s="2"/>
      <c r="K94" s="2"/>
      <c r="T94" s="2"/>
    </row>
    <row r="95" spans="2:20" x14ac:dyDescent="0.35">
      <c r="C95" s="2"/>
      <c r="D95" s="2"/>
      <c r="E95" s="2"/>
      <c r="I95" s="2"/>
      <c r="J95" s="2"/>
      <c r="K95" s="2"/>
      <c r="N95" s="23"/>
      <c r="O95" s="23"/>
      <c r="T95" s="2"/>
    </row>
    <row r="96" spans="2:20" x14ac:dyDescent="0.35">
      <c r="O96" s="2"/>
      <c r="T96" s="2"/>
    </row>
    <row r="97" spans="2:20" x14ac:dyDescent="0.35">
      <c r="B97" s="22"/>
      <c r="C97" s="22"/>
      <c r="D97" s="1"/>
      <c r="E97" s="1"/>
      <c r="H97" s="23"/>
      <c r="I97" s="23"/>
      <c r="J97" s="3"/>
      <c r="K97" s="3"/>
      <c r="O97" s="2"/>
    </row>
    <row r="98" spans="2:20" x14ac:dyDescent="0.35">
      <c r="C98" s="2"/>
      <c r="D98" s="2"/>
      <c r="E98" s="2"/>
      <c r="I98" s="2"/>
      <c r="J98" s="2"/>
      <c r="K98" s="2"/>
      <c r="O98" s="2"/>
      <c r="S98" s="23"/>
      <c r="T98" s="23"/>
    </row>
    <row r="99" spans="2:20" x14ac:dyDescent="0.35">
      <c r="C99" s="2"/>
      <c r="D99" s="2"/>
      <c r="E99" s="2"/>
      <c r="I99" s="2"/>
      <c r="J99" s="2"/>
      <c r="K99" s="2"/>
      <c r="T99" s="2"/>
    </row>
    <row r="100" spans="2:20" x14ac:dyDescent="0.35">
      <c r="B100" s="22"/>
      <c r="C100" s="22"/>
      <c r="D100" s="1"/>
      <c r="E100" s="1"/>
      <c r="N100" s="22"/>
      <c r="O100" s="22"/>
      <c r="T100" s="2"/>
    </row>
    <row r="101" spans="2:20" x14ac:dyDescent="0.35">
      <c r="C101" s="2"/>
      <c r="D101" s="2"/>
      <c r="E101" s="2"/>
      <c r="H101" s="22"/>
      <c r="I101" s="22"/>
      <c r="J101" s="1"/>
      <c r="K101" s="1"/>
      <c r="O101" s="2"/>
      <c r="T101" s="2"/>
    </row>
    <row r="102" spans="2:20" x14ac:dyDescent="0.35">
      <c r="C102" s="2"/>
      <c r="D102" s="2"/>
      <c r="E102" s="2"/>
      <c r="I102" s="2"/>
      <c r="J102" s="2"/>
      <c r="K102" s="2"/>
      <c r="O102" s="2"/>
    </row>
    <row r="103" spans="2:20" x14ac:dyDescent="0.35">
      <c r="C103" s="2"/>
      <c r="D103" s="2"/>
      <c r="E103" s="2"/>
      <c r="I103" s="2"/>
      <c r="J103" s="2"/>
      <c r="K103" s="2"/>
      <c r="O103" s="2"/>
      <c r="S103" s="1"/>
      <c r="T103" s="1"/>
    </row>
    <row r="104" spans="2:20" x14ac:dyDescent="0.35">
      <c r="C104" s="2"/>
      <c r="D104" s="2"/>
      <c r="E104" s="2"/>
      <c r="O104" s="2"/>
      <c r="T104" s="2"/>
    </row>
    <row r="105" spans="2:20" x14ac:dyDescent="0.35">
      <c r="C105" s="2"/>
      <c r="D105" s="2"/>
      <c r="E105" s="2"/>
      <c r="H105" s="22"/>
      <c r="I105" s="22"/>
      <c r="J105" s="1"/>
      <c r="K105" s="1"/>
      <c r="O105" s="2"/>
      <c r="T105" s="2"/>
    </row>
    <row r="106" spans="2:20" x14ac:dyDescent="0.35">
      <c r="I106" s="2"/>
      <c r="J106" s="2"/>
      <c r="K106" s="2"/>
      <c r="N106" s="22"/>
      <c r="O106" s="22"/>
      <c r="T106" s="2"/>
    </row>
    <row r="107" spans="2:20" x14ac:dyDescent="0.35">
      <c r="I107" s="2"/>
      <c r="J107" s="2"/>
      <c r="K107" s="2"/>
      <c r="O107" s="2"/>
      <c r="S107" s="22"/>
      <c r="T107" s="22"/>
    </row>
    <row r="108" spans="2:20" x14ac:dyDescent="0.35">
      <c r="I108" s="2"/>
      <c r="J108" s="2"/>
      <c r="K108" s="2"/>
      <c r="O108" s="2"/>
      <c r="T108" s="2"/>
    </row>
    <row r="109" spans="2:20" x14ac:dyDescent="0.35">
      <c r="I109" s="2"/>
      <c r="J109" s="2"/>
      <c r="K109" s="2"/>
      <c r="O109" s="2"/>
      <c r="T109" s="2"/>
    </row>
    <row r="110" spans="2:20" x14ac:dyDescent="0.35">
      <c r="I110" s="2"/>
      <c r="J110" s="2"/>
      <c r="K110" s="2"/>
      <c r="O110" s="2"/>
      <c r="T110" s="2"/>
    </row>
    <row r="111" spans="2:20" x14ac:dyDescent="0.35">
      <c r="I111" s="2"/>
      <c r="J111" s="2"/>
      <c r="K111" s="2"/>
      <c r="O111" s="2"/>
      <c r="T111" s="2"/>
    </row>
    <row r="112" spans="2:20" x14ac:dyDescent="0.35">
      <c r="I112" s="2"/>
      <c r="J112" s="2"/>
      <c r="K112" s="2"/>
      <c r="O112" s="2"/>
      <c r="T112" s="2"/>
    </row>
    <row r="113" spans="15:20" x14ac:dyDescent="0.35">
      <c r="O113" s="2"/>
      <c r="T113" s="2"/>
    </row>
    <row r="114" spans="15:20" x14ac:dyDescent="0.35">
      <c r="O114" s="2"/>
      <c r="T114" s="2"/>
    </row>
    <row r="115" spans="15:20" x14ac:dyDescent="0.35">
      <c r="T115" s="2"/>
    </row>
  </sheetData>
  <mergeCells count="75">
    <mergeCell ref="S61:T61"/>
    <mergeCell ref="S62:T62"/>
    <mergeCell ref="C69:D69"/>
    <mergeCell ref="C70:D74"/>
    <mergeCell ref="S59:T59"/>
    <mergeCell ref="S60:T60"/>
    <mergeCell ref="G59:H59"/>
    <mergeCell ref="M59:N59"/>
    <mergeCell ref="A16:B16"/>
    <mergeCell ref="M16:N16"/>
    <mergeCell ref="A56:B56"/>
    <mergeCell ref="A55:B55"/>
    <mergeCell ref="G58:H58"/>
    <mergeCell ref="M58:N58"/>
    <mergeCell ref="A53:B53"/>
    <mergeCell ref="A54:B54"/>
    <mergeCell ref="G57:H57"/>
    <mergeCell ref="G56:H56"/>
    <mergeCell ref="M56:N56"/>
    <mergeCell ref="M57:N57"/>
    <mergeCell ref="A18:C18"/>
    <mergeCell ref="A23:C23"/>
    <mergeCell ref="A27:C27"/>
    <mergeCell ref="A37:C37"/>
    <mergeCell ref="A41:C41"/>
    <mergeCell ref="S1:U1"/>
    <mergeCell ref="S2:U2"/>
    <mergeCell ref="T50:U50"/>
    <mergeCell ref="T44:U44"/>
    <mergeCell ref="T39:U39"/>
    <mergeCell ref="T29:U29"/>
    <mergeCell ref="T25:U25"/>
    <mergeCell ref="T19:U19"/>
    <mergeCell ref="M1:O1"/>
    <mergeCell ref="G2:I2"/>
    <mergeCell ref="G1:I1"/>
    <mergeCell ref="A1:C1"/>
    <mergeCell ref="A2:C2"/>
    <mergeCell ref="H24:I24"/>
    <mergeCell ref="A48:C48"/>
    <mergeCell ref="N76:O76"/>
    <mergeCell ref="H76:I76"/>
    <mergeCell ref="N18:O18"/>
    <mergeCell ref="N22:O22"/>
    <mergeCell ref="N26:O26"/>
    <mergeCell ref="N36:O36"/>
    <mergeCell ref="N41:O41"/>
    <mergeCell ref="N47:O47"/>
    <mergeCell ref="M2:O2"/>
    <mergeCell ref="G16:H16"/>
    <mergeCell ref="G42:I42"/>
    <mergeCell ref="G48:I48"/>
    <mergeCell ref="G38:I38"/>
    <mergeCell ref="G28:I28"/>
    <mergeCell ref="G18:I18"/>
    <mergeCell ref="B82:C82"/>
    <mergeCell ref="B87:C87"/>
    <mergeCell ref="B93:C93"/>
    <mergeCell ref="S83:T83"/>
    <mergeCell ref="S77:T77"/>
    <mergeCell ref="N85:O85"/>
    <mergeCell ref="N80:O80"/>
    <mergeCell ref="H82:I82"/>
    <mergeCell ref="H87:I87"/>
    <mergeCell ref="B97:C97"/>
    <mergeCell ref="B100:C100"/>
    <mergeCell ref="S107:T107"/>
    <mergeCell ref="S98:T98"/>
    <mergeCell ref="S88:T88"/>
    <mergeCell ref="N106:O106"/>
    <mergeCell ref="N100:O100"/>
    <mergeCell ref="N95:O95"/>
    <mergeCell ref="H105:I105"/>
    <mergeCell ref="H97:I97"/>
    <mergeCell ref="H101:I101"/>
  </mergeCells>
  <phoneticPr fontId="5" type="noConversion"/>
  <dataValidations disablePrompts="1" count="1">
    <dataValidation type="list" allowBlank="1" showInputMessage="1" showErrorMessage="1" sqref="B7" xr:uid="{AC5F7065-015B-244F-A103-B674E1B151BA}">
      <formula1>$B$8:$B$11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8" r:id="rId4" name="Group Box 74">
              <controlPr defaultSize="0" autoFill="0" autoPict="0">
                <anchor moveWithCells="1">
                  <from>
                    <xdr:col>11</xdr:col>
                    <xdr:colOff>1231900</xdr:colOff>
                    <xdr:row>16</xdr:row>
                    <xdr:rowOff>177800</xdr:rowOff>
                  </from>
                  <to>
                    <xdr:col>15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" name="Group Box 75">
              <controlPr defaultSize="0" autoFill="0" autoPict="0">
                <anchor moveWithCells="1">
                  <from>
                    <xdr:col>11</xdr:col>
                    <xdr:colOff>1250950</xdr:colOff>
                    <xdr:row>20</xdr:row>
                    <xdr:rowOff>184150</xdr:rowOff>
                  </from>
                  <to>
                    <xdr:col>15</xdr:col>
                    <xdr:colOff>25400</xdr:colOff>
                    <xdr:row>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Option Button 76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190500</xdr:rowOff>
                  </from>
                  <to>
                    <xdr:col>13</xdr:col>
                    <xdr:colOff>101600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" name="Option Button 77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6350</xdr:rowOff>
                  </from>
                  <to>
                    <xdr:col>13</xdr:col>
                    <xdr:colOff>190500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" name="Option Button 80">
              <controlPr defaultSize="0" autoFill="0" autoLine="0" autoPict="0">
                <anchor moveWithCells="1">
                  <from>
                    <xdr:col>12</xdr:col>
                    <xdr:colOff>25400</xdr:colOff>
                    <xdr:row>21</xdr:row>
                    <xdr:rowOff>190500</xdr:rowOff>
                  </from>
                  <to>
                    <xdr:col>13</xdr:col>
                    <xdr:colOff>692150</xdr:colOff>
                    <xdr:row>23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9" name="Option Button 81">
              <controlPr defaultSize="0" autoFill="0" autoLine="0" autoPict="0">
                <anchor moveWithCells="1">
                  <from>
                    <xdr:col>12</xdr:col>
                    <xdr:colOff>25400</xdr:colOff>
                    <xdr:row>23</xdr:row>
                    <xdr:rowOff>0</xdr:rowOff>
                  </from>
                  <to>
                    <xdr:col>13</xdr:col>
                    <xdr:colOff>692150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0" name="Group Box 82">
              <controlPr defaultSize="0" autoFill="0" autoPict="0">
                <anchor moveWithCells="1">
                  <from>
                    <xdr:col>11</xdr:col>
                    <xdr:colOff>1250950</xdr:colOff>
                    <xdr:row>25</xdr:row>
                    <xdr:rowOff>12700</xdr:rowOff>
                  </from>
                  <to>
                    <xdr:col>15</xdr:col>
                    <xdr:colOff>25400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1" name="Option Button 83">
              <controlPr defaultSize="0" autoFill="0" autoLine="0" autoPict="0">
                <anchor moveWithCells="1">
                  <from>
                    <xdr:col>13</xdr:col>
                    <xdr:colOff>1917700</xdr:colOff>
                    <xdr:row>25</xdr:row>
                    <xdr:rowOff>196850</xdr:rowOff>
                  </from>
                  <to>
                    <xdr:col>14</xdr:col>
                    <xdr:colOff>679450</xdr:colOff>
                    <xdr:row>27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2" name="Option Button 84">
              <controlPr defaultSize="0" autoFill="0" autoLine="0" autoPict="0">
                <anchor moveWithCells="1">
                  <from>
                    <xdr:col>13</xdr:col>
                    <xdr:colOff>1905000</xdr:colOff>
                    <xdr:row>26</xdr:row>
                    <xdr:rowOff>196850</xdr:rowOff>
                  </from>
                  <to>
                    <xdr:col>14</xdr:col>
                    <xdr:colOff>673100</xdr:colOff>
                    <xdr:row>28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3" name="Option Button 85">
              <controlPr defaultSize="0" autoFill="0" autoLine="0" autoPict="0">
                <anchor moveWithCells="1">
                  <from>
                    <xdr:col>13</xdr:col>
                    <xdr:colOff>1917700</xdr:colOff>
                    <xdr:row>27</xdr:row>
                    <xdr:rowOff>196850</xdr:rowOff>
                  </from>
                  <to>
                    <xdr:col>14</xdr:col>
                    <xdr:colOff>679450</xdr:colOff>
                    <xdr:row>29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4" name="Option Button 86">
              <controlPr defaultSize="0" autoFill="0" autoLine="0" autoPict="0">
                <anchor moveWithCells="1">
                  <from>
                    <xdr:col>13</xdr:col>
                    <xdr:colOff>1917700</xdr:colOff>
                    <xdr:row>29</xdr:row>
                    <xdr:rowOff>0</xdr:rowOff>
                  </from>
                  <to>
                    <xdr:col>14</xdr:col>
                    <xdr:colOff>679450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5" name="Option Button 87">
              <controlPr defaultSize="0" autoFill="0" autoLine="0" autoPict="0">
                <anchor moveWithCells="1">
                  <from>
                    <xdr:col>13</xdr:col>
                    <xdr:colOff>1930400</xdr:colOff>
                    <xdr:row>29</xdr:row>
                    <xdr:rowOff>184150</xdr:rowOff>
                  </from>
                  <to>
                    <xdr:col>14</xdr:col>
                    <xdr:colOff>685800</xdr:colOff>
                    <xdr:row>31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6" name="Option Button 88">
              <controlPr defaultSize="0" autoFill="0" autoLine="0" autoPict="0">
                <anchor moveWithCells="1">
                  <from>
                    <xdr:col>13</xdr:col>
                    <xdr:colOff>1930400</xdr:colOff>
                    <xdr:row>31</xdr:row>
                    <xdr:rowOff>0</xdr:rowOff>
                  </from>
                  <to>
                    <xdr:col>14</xdr:col>
                    <xdr:colOff>685800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7" name="Option Button 89">
              <controlPr defaultSize="0" autoFill="0" autoLine="0" autoPict="0">
                <anchor moveWithCells="1">
                  <from>
                    <xdr:col>13</xdr:col>
                    <xdr:colOff>1930400</xdr:colOff>
                    <xdr:row>31</xdr:row>
                    <xdr:rowOff>190500</xdr:rowOff>
                  </from>
                  <to>
                    <xdr:col>14</xdr:col>
                    <xdr:colOff>692150</xdr:colOff>
                    <xdr:row>33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8" name="Option Button 90">
              <controlPr defaultSize="0" autoFill="0" autoLine="0" autoPict="0">
                <anchor moveWithCells="1">
                  <from>
                    <xdr:col>13</xdr:col>
                    <xdr:colOff>1930400</xdr:colOff>
                    <xdr:row>32</xdr:row>
                    <xdr:rowOff>184150</xdr:rowOff>
                  </from>
                  <to>
                    <xdr:col>14</xdr:col>
                    <xdr:colOff>692150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9" name="Group Box 92">
              <controlPr defaultSize="0" autoFill="0" autoPict="0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15</xdr:col>
                    <xdr:colOff>25400</xdr:colOff>
                    <xdr:row>39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20" name="Option Button 93">
              <controlPr defaultSize="0" autoFill="0" autoLine="0" autoPict="0">
                <anchor moveWithCells="1">
                  <from>
                    <xdr:col>12</xdr:col>
                    <xdr:colOff>31750</xdr:colOff>
                    <xdr:row>35</xdr:row>
                    <xdr:rowOff>190500</xdr:rowOff>
                  </from>
                  <to>
                    <xdr:col>13</xdr:col>
                    <xdr:colOff>698500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21" name="Option Button 94">
              <controlPr defaultSize="0" autoFill="0" autoLine="0" autoPict="0">
                <anchor moveWithCells="1">
                  <from>
                    <xdr:col>12</xdr:col>
                    <xdr:colOff>31750</xdr:colOff>
                    <xdr:row>37</xdr:row>
                    <xdr:rowOff>0</xdr:rowOff>
                  </from>
                  <to>
                    <xdr:col>13</xdr:col>
                    <xdr:colOff>698500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2" name="Option Button 95">
              <controlPr defaultSize="0" autoFill="0" autoLine="0" autoPict="0">
                <anchor moveWithCells="1">
                  <from>
                    <xdr:col>12</xdr:col>
                    <xdr:colOff>25400</xdr:colOff>
                    <xdr:row>37</xdr:row>
                    <xdr:rowOff>196850</xdr:rowOff>
                  </from>
                  <to>
                    <xdr:col>13</xdr:col>
                    <xdr:colOff>692150</xdr:colOff>
                    <xdr:row>39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23" name="Group Box 96">
              <controlPr defaultSize="0" autoFill="0" autoPict="0">
                <anchor moveWithCells="1">
                  <from>
                    <xdr:col>12</xdr:col>
                    <xdr:colOff>6350</xdr:colOff>
                    <xdr:row>40</xdr:row>
                    <xdr:rowOff>6350</xdr:rowOff>
                  </from>
                  <to>
                    <xdr:col>15</xdr:col>
                    <xdr:colOff>38100</xdr:colOff>
                    <xdr:row>45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24" name="Option Button 97">
              <controlPr defaultSize="0" autoFill="0" autoLine="0" autoPict="0">
                <anchor moveWithCells="1">
                  <from>
                    <xdr:col>12</xdr:col>
                    <xdr:colOff>31750</xdr:colOff>
                    <xdr:row>40</xdr:row>
                    <xdr:rowOff>196850</xdr:rowOff>
                  </from>
                  <to>
                    <xdr:col>13</xdr:col>
                    <xdr:colOff>698500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25" name="Option Button 98">
              <controlPr defaultSize="0" autoFill="0" autoLine="0" autoPict="0">
                <anchor moveWithCells="1">
                  <from>
                    <xdr:col>12</xdr:col>
                    <xdr:colOff>25400</xdr:colOff>
                    <xdr:row>41</xdr:row>
                    <xdr:rowOff>196850</xdr:rowOff>
                  </from>
                  <to>
                    <xdr:col>13</xdr:col>
                    <xdr:colOff>698500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6" name="Option Button 99">
              <controlPr defaultSize="0" autoFill="0" autoLine="0" autoPict="0">
                <anchor moveWithCells="1">
                  <from>
                    <xdr:col>12</xdr:col>
                    <xdr:colOff>25400</xdr:colOff>
                    <xdr:row>42</xdr:row>
                    <xdr:rowOff>190500</xdr:rowOff>
                  </from>
                  <to>
                    <xdr:col>13</xdr:col>
                    <xdr:colOff>698500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27" name="Option Button 101">
              <controlPr defaultSize="0" autoFill="0" autoLine="0" autoPict="0">
                <anchor moveWithCells="1">
                  <from>
                    <xdr:col>12</xdr:col>
                    <xdr:colOff>25400</xdr:colOff>
                    <xdr:row>43</xdr:row>
                    <xdr:rowOff>184150</xdr:rowOff>
                  </from>
                  <to>
                    <xdr:col>13</xdr:col>
                    <xdr:colOff>749300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8" name="Group Box 103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15</xdr:col>
                    <xdr:colOff>38100</xdr:colOff>
                    <xdr:row>54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9" name="Check Box 104">
              <controlPr defaultSize="0" autoFill="0" autoLine="0" autoPict="0">
                <anchor moveWithCells="1">
                  <from>
                    <xdr:col>12</xdr:col>
                    <xdr:colOff>12700</xdr:colOff>
                    <xdr:row>46</xdr:row>
                    <xdr:rowOff>184150</xdr:rowOff>
                  </from>
                  <to>
                    <xdr:col>13</xdr:col>
                    <xdr:colOff>698500</xdr:colOff>
                    <xdr:row>48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30" name="Check Box 105">
              <controlPr defaultSize="0" autoFill="0" autoLine="0" autoPict="0">
                <anchor moveWithCells="1">
                  <from>
                    <xdr:col>12</xdr:col>
                    <xdr:colOff>25400</xdr:colOff>
                    <xdr:row>47</xdr:row>
                    <xdr:rowOff>184150</xdr:rowOff>
                  </from>
                  <to>
                    <xdr:col>13</xdr:col>
                    <xdr:colOff>711200</xdr:colOff>
                    <xdr:row>49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31" name="Check Box 106">
              <controlPr defaultSize="0" autoFill="0" autoLine="0" autoPict="0">
                <anchor moveWithCells="1">
                  <from>
                    <xdr:col>12</xdr:col>
                    <xdr:colOff>25400</xdr:colOff>
                    <xdr:row>48</xdr:row>
                    <xdr:rowOff>184150</xdr:rowOff>
                  </from>
                  <to>
                    <xdr:col>13</xdr:col>
                    <xdr:colOff>711200</xdr:colOff>
                    <xdr:row>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32" name="Check Box 107">
              <controlPr defaultSize="0" autoFill="0" autoLine="0" autoPict="0">
                <anchor moveWithCells="1">
                  <from>
                    <xdr:col>12</xdr:col>
                    <xdr:colOff>25400</xdr:colOff>
                    <xdr:row>49</xdr:row>
                    <xdr:rowOff>184150</xdr:rowOff>
                  </from>
                  <to>
                    <xdr:col>13</xdr:col>
                    <xdr:colOff>698500</xdr:colOff>
                    <xdr:row>51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33" name="Check Box 108">
              <controlPr defaultSize="0" autoFill="0" autoLine="0" autoPict="0">
                <anchor moveWithCells="1">
                  <from>
                    <xdr:col>12</xdr:col>
                    <xdr:colOff>25400</xdr:colOff>
                    <xdr:row>50</xdr:row>
                    <xdr:rowOff>196850</xdr:rowOff>
                  </from>
                  <to>
                    <xdr:col>13</xdr:col>
                    <xdr:colOff>711200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34" name="Check Box 109">
              <controlPr defaultSize="0" autoFill="0" autoLine="0" autoPict="0">
                <anchor moveWithCells="1">
                  <from>
                    <xdr:col>12</xdr:col>
                    <xdr:colOff>25400</xdr:colOff>
                    <xdr:row>51</xdr:row>
                    <xdr:rowOff>190500</xdr:rowOff>
                  </from>
                  <to>
                    <xdr:col>13</xdr:col>
                    <xdr:colOff>711200</xdr:colOff>
                    <xdr:row>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5" name="Check Box 110">
              <controlPr defaultSize="0" autoFill="0" autoLine="0" autoPict="0">
                <anchor moveWithCells="1">
                  <from>
                    <xdr:col>12</xdr:col>
                    <xdr:colOff>25400</xdr:colOff>
                    <xdr:row>52</xdr:row>
                    <xdr:rowOff>190500</xdr:rowOff>
                  </from>
                  <to>
                    <xdr:col>13</xdr:col>
                    <xdr:colOff>711200</xdr:colOff>
                    <xdr:row>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Group Box 118">
              <controlPr defaultSize="0" autoFill="0" autoPict="0">
                <anchor moveWithCells="1">
                  <from>
                    <xdr:col>5</xdr:col>
                    <xdr:colOff>762000</xdr:colOff>
                    <xdr:row>16</xdr:row>
                    <xdr:rowOff>190500</xdr:rowOff>
                  </from>
                  <to>
                    <xdr:col>9</xdr:col>
                    <xdr:colOff>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7" name="Option Button 120">
              <controlPr defaultSize="0" autoFill="0" autoLine="0" autoPict="0">
                <anchor moveWithCells="1">
                  <from>
                    <xdr:col>6</xdr:col>
                    <xdr:colOff>63500</xdr:colOff>
                    <xdr:row>18</xdr:row>
                    <xdr:rowOff>6350</xdr:rowOff>
                  </from>
                  <to>
                    <xdr:col>7</xdr:col>
                    <xdr:colOff>774700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8" name="Option Button 121">
              <controlPr defaultSize="0" autoFill="0" autoLine="0" autoPict="0">
                <anchor moveWithCells="1">
                  <from>
                    <xdr:col>6</xdr:col>
                    <xdr:colOff>63500</xdr:colOff>
                    <xdr:row>19</xdr:row>
                    <xdr:rowOff>12700</xdr:rowOff>
                  </from>
                  <to>
                    <xdr:col>7</xdr:col>
                    <xdr:colOff>787400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9" name="Option Button 123">
              <controlPr defaultSize="0" autoFill="0" autoLine="0" autoPict="0">
                <anchor moveWithCells="1">
                  <from>
                    <xdr:col>6</xdr:col>
                    <xdr:colOff>50800</xdr:colOff>
                    <xdr:row>20</xdr:row>
                    <xdr:rowOff>6350</xdr:rowOff>
                  </from>
                  <to>
                    <xdr:col>7</xdr:col>
                    <xdr:colOff>774700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Group Box 124">
              <controlPr defaultSize="0" autoFill="0" autoPict="0">
                <anchor moveWithCells="1">
                  <from>
                    <xdr:col>5</xdr:col>
                    <xdr:colOff>755650</xdr:colOff>
                    <xdr:row>23</xdr:row>
                    <xdr:rowOff>12700</xdr:rowOff>
                  </from>
                  <to>
                    <xdr:col>9</xdr:col>
                    <xdr:colOff>6350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Option Button 125">
              <controlPr defaultSize="0" autoFill="0" autoLine="0" autoPict="0">
                <anchor moveWithCells="1">
                  <from>
                    <xdr:col>6</xdr:col>
                    <xdr:colOff>44450</xdr:colOff>
                    <xdr:row>23</xdr:row>
                    <xdr:rowOff>190500</xdr:rowOff>
                  </from>
                  <to>
                    <xdr:col>7</xdr:col>
                    <xdr:colOff>768350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Option Button 126">
              <controlPr defaultSize="0" autoFill="0" autoLine="0" autoPict="0">
                <anchor moveWithCells="1">
                  <from>
                    <xdr:col>6</xdr:col>
                    <xdr:colOff>44450</xdr:colOff>
                    <xdr:row>24</xdr:row>
                    <xdr:rowOff>190500</xdr:rowOff>
                  </from>
                  <to>
                    <xdr:col>7</xdr:col>
                    <xdr:colOff>768350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Group Box 127">
              <controlPr defaultSize="0" autoFill="0" autoPict="0">
                <anchor moveWithCells="1">
                  <from>
                    <xdr:col>5</xdr:col>
                    <xdr:colOff>755650</xdr:colOff>
                    <xdr:row>27</xdr:row>
                    <xdr:rowOff>6350</xdr:rowOff>
                  </from>
                  <to>
                    <xdr:col>9</xdr:col>
                    <xdr:colOff>6350</xdr:colOff>
                    <xdr:row>36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Option Button 128">
              <controlPr defaultSize="0" autoFill="0" autoLine="0" autoPict="0">
                <anchor moveWithCells="1">
                  <from>
                    <xdr:col>7</xdr:col>
                    <xdr:colOff>1663700</xdr:colOff>
                    <xdr:row>27</xdr:row>
                    <xdr:rowOff>190500</xdr:rowOff>
                  </from>
                  <to>
                    <xdr:col>8</xdr:col>
                    <xdr:colOff>730250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Option Button 129">
              <controlPr defaultSize="0" autoFill="0" autoLine="0" autoPict="0">
                <anchor moveWithCells="1">
                  <from>
                    <xdr:col>7</xdr:col>
                    <xdr:colOff>1663700</xdr:colOff>
                    <xdr:row>29</xdr:row>
                    <xdr:rowOff>6350</xdr:rowOff>
                  </from>
                  <to>
                    <xdr:col>8</xdr:col>
                    <xdr:colOff>736600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Option Button 130">
              <controlPr defaultSize="0" autoFill="0" autoLine="0" autoPict="0">
                <anchor moveWithCells="1">
                  <from>
                    <xdr:col>7</xdr:col>
                    <xdr:colOff>1663700</xdr:colOff>
                    <xdr:row>30</xdr:row>
                    <xdr:rowOff>0</xdr:rowOff>
                  </from>
                  <to>
                    <xdr:col>8</xdr:col>
                    <xdr:colOff>730250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Option Button 131">
              <controlPr defaultSize="0" autoFill="0" autoLine="0" autoPict="0">
                <anchor moveWithCells="1">
                  <from>
                    <xdr:col>7</xdr:col>
                    <xdr:colOff>1651000</xdr:colOff>
                    <xdr:row>31</xdr:row>
                    <xdr:rowOff>0</xdr:rowOff>
                  </from>
                  <to>
                    <xdr:col>8</xdr:col>
                    <xdr:colOff>723900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Option Button 132">
              <controlPr defaultSize="0" autoFill="0" autoLine="0" autoPict="0">
                <anchor moveWithCells="1">
                  <from>
                    <xdr:col>7</xdr:col>
                    <xdr:colOff>1663700</xdr:colOff>
                    <xdr:row>32</xdr:row>
                    <xdr:rowOff>6350</xdr:rowOff>
                  </from>
                  <to>
                    <xdr:col>8</xdr:col>
                    <xdr:colOff>730250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49" name="Option Button 133">
              <controlPr defaultSize="0" autoFill="0" autoLine="0" autoPict="0">
                <anchor moveWithCells="1">
                  <from>
                    <xdr:col>7</xdr:col>
                    <xdr:colOff>1663700</xdr:colOff>
                    <xdr:row>32</xdr:row>
                    <xdr:rowOff>190500</xdr:rowOff>
                  </from>
                  <to>
                    <xdr:col>8</xdr:col>
                    <xdr:colOff>736600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50" name="Option Button 134">
              <controlPr defaultSize="0" autoFill="0" autoLine="0" autoPict="0">
                <anchor moveWithCells="1">
                  <from>
                    <xdr:col>7</xdr:col>
                    <xdr:colOff>1663700</xdr:colOff>
                    <xdr:row>34</xdr:row>
                    <xdr:rowOff>0</xdr:rowOff>
                  </from>
                  <to>
                    <xdr:col>8</xdr:col>
                    <xdr:colOff>736600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1" name="Option Button 135">
              <controlPr defaultSize="0" autoFill="0" autoLine="0" autoPict="0">
                <anchor moveWithCells="1">
                  <from>
                    <xdr:col>7</xdr:col>
                    <xdr:colOff>1663700</xdr:colOff>
                    <xdr:row>35</xdr:row>
                    <xdr:rowOff>12700</xdr:rowOff>
                  </from>
                  <to>
                    <xdr:col>8</xdr:col>
                    <xdr:colOff>730250</xdr:colOff>
                    <xdr:row>36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52" name="Group Box 136">
              <controlPr defaultSize="0" autoFill="0" autoPict="0">
                <anchor moveWithCells="1">
                  <from>
                    <xdr:col>5</xdr:col>
                    <xdr:colOff>749300</xdr:colOff>
                    <xdr:row>37</xdr:row>
                    <xdr:rowOff>12700</xdr:rowOff>
                  </from>
                  <to>
                    <xdr:col>9</xdr:col>
                    <xdr:colOff>12700</xdr:colOff>
                    <xdr:row>40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3" name="Option Button 137">
              <controlPr defaultSize="0" autoFill="0" autoLine="0" autoPict="0">
                <anchor moveWithCells="1">
                  <from>
                    <xdr:col>6</xdr:col>
                    <xdr:colOff>63500</xdr:colOff>
                    <xdr:row>37</xdr:row>
                    <xdr:rowOff>184150</xdr:rowOff>
                  </from>
                  <to>
                    <xdr:col>7</xdr:col>
                    <xdr:colOff>787400</xdr:colOff>
                    <xdr:row>39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54" name="Option Button 139">
              <controlPr defaultSize="0" autoFill="0" autoLine="0" autoPict="0">
                <anchor moveWithCells="1">
                  <from>
                    <xdr:col>6</xdr:col>
                    <xdr:colOff>50800</xdr:colOff>
                    <xdr:row>38</xdr:row>
                    <xdr:rowOff>190500</xdr:rowOff>
                  </from>
                  <to>
                    <xdr:col>7</xdr:col>
                    <xdr:colOff>774700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5" name="Group Box 140">
              <controlPr defaultSize="0" autoFill="0" autoPict="0">
                <anchor moveWithCells="1">
                  <from>
                    <xdr:col>5</xdr:col>
                    <xdr:colOff>749300</xdr:colOff>
                    <xdr:row>41</xdr:row>
                    <xdr:rowOff>6350</xdr:rowOff>
                  </from>
                  <to>
                    <xdr:col>9</xdr:col>
                    <xdr:colOff>12700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6" name="Option Button 141">
              <controlPr defaultSize="0" autoFill="0" autoLine="0" autoPict="0">
                <anchor moveWithCells="1">
                  <from>
                    <xdr:col>6</xdr:col>
                    <xdr:colOff>38100</xdr:colOff>
                    <xdr:row>41</xdr:row>
                    <xdr:rowOff>184150</xdr:rowOff>
                  </from>
                  <to>
                    <xdr:col>7</xdr:col>
                    <xdr:colOff>762000</xdr:colOff>
                    <xdr:row>43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57" name="Option Button 142">
              <controlPr defaultSize="0" autoFill="0" autoLine="0" autoPict="0">
                <anchor moveWithCells="1">
                  <from>
                    <xdr:col>6</xdr:col>
                    <xdr:colOff>44450</xdr:colOff>
                    <xdr:row>43</xdr:row>
                    <xdr:rowOff>6350</xdr:rowOff>
                  </from>
                  <to>
                    <xdr:col>7</xdr:col>
                    <xdr:colOff>768350</xdr:colOff>
                    <xdr:row>44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58" name="Option Button 143">
              <controlPr defaultSize="0" autoFill="0" autoLine="0" autoPict="0">
                <anchor moveWithCells="1">
                  <from>
                    <xdr:col>6</xdr:col>
                    <xdr:colOff>44450</xdr:colOff>
                    <xdr:row>43</xdr:row>
                    <xdr:rowOff>196850</xdr:rowOff>
                  </from>
                  <to>
                    <xdr:col>7</xdr:col>
                    <xdr:colOff>768350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59" name="Option Button 144">
              <controlPr defaultSize="0" autoFill="0" autoLine="0" autoPict="0">
                <anchor moveWithCells="1">
                  <from>
                    <xdr:col>6</xdr:col>
                    <xdr:colOff>38100</xdr:colOff>
                    <xdr:row>45</xdr:row>
                    <xdr:rowOff>0</xdr:rowOff>
                  </from>
                  <to>
                    <xdr:col>7</xdr:col>
                    <xdr:colOff>762000</xdr:colOff>
                    <xdr:row>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60" name="Group Box 145">
              <controlPr defaultSize="0" autoFill="0" autoPict="0">
                <anchor moveWithCells="1">
                  <from>
                    <xdr:col>5</xdr:col>
                    <xdr:colOff>749300</xdr:colOff>
                    <xdr:row>46</xdr:row>
                    <xdr:rowOff>190500</xdr:rowOff>
                  </from>
                  <to>
                    <xdr:col>9</xdr:col>
                    <xdr:colOff>25400</xdr:colOff>
                    <xdr:row>54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61" name="Check Box 146">
              <controlPr defaultSize="0" autoFill="0" autoLine="0" autoPict="0">
                <anchor moveWithCells="1">
                  <from>
                    <xdr:col>6</xdr:col>
                    <xdr:colOff>38100</xdr:colOff>
                    <xdr:row>47</xdr:row>
                    <xdr:rowOff>184150</xdr:rowOff>
                  </from>
                  <to>
                    <xdr:col>7</xdr:col>
                    <xdr:colOff>730250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62" name="Check Box 147">
              <controlPr defaultSize="0" autoFill="0" autoLine="0" autoPict="0">
                <anchor moveWithCells="1">
                  <from>
                    <xdr:col>6</xdr:col>
                    <xdr:colOff>44450</xdr:colOff>
                    <xdr:row>48</xdr:row>
                    <xdr:rowOff>196850</xdr:rowOff>
                  </from>
                  <to>
                    <xdr:col>7</xdr:col>
                    <xdr:colOff>730250</xdr:colOff>
                    <xdr:row>50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63" name="Check Box 148">
              <controlPr defaultSize="0" autoFill="0" autoLine="0" autoPict="0">
                <anchor moveWithCells="1">
                  <from>
                    <xdr:col>6</xdr:col>
                    <xdr:colOff>38100</xdr:colOff>
                    <xdr:row>49</xdr:row>
                    <xdr:rowOff>190500</xdr:rowOff>
                  </from>
                  <to>
                    <xdr:col>7</xdr:col>
                    <xdr:colOff>730250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64" name="Check Box 149">
              <controlPr defaultSize="0" autoFill="0" autoLine="0" autoPict="0">
                <anchor moveWithCells="1">
                  <from>
                    <xdr:col>6</xdr:col>
                    <xdr:colOff>38100</xdr:colOff>
                    <xdr:row>50</xdr:row>
                    <xdr:rowOff>190500</xdr:rowOff>
                  </from>
                  <to>
                    <xdr:col>7</xdr:col>
                    <xdr:colOff>730250</xdr:colOff>
                    <xdr:row>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65" name="Check Box 150">
              <controlPr defaultSize="0" autoFill="0" autoLine="0" autoPict="0">
                <anchor moveWithCells="1">
                  <from>
                    <xdr:col>6</xdr:col>
                    <xdr:colOff>38100</xdr:colOff>
                    <xdr:row>51</xdr:row>
                    <xdr:rowOff>196850</xdr:rowOff>
                  </from>
                  <to>
                    <xdr:col>7</xdr:col>
                    <xdr:colOff>730250</xdr:colOff>
                    <xdr:row>53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66" name="Check Box 151">
              <controlPr defaultSize="0" autoFill="0" autoLine="0" autoPict="0">
                <anchor moveWithCells="1">
                  <from>
                    <xdr:col>6</xdr:col>
                    <xdr:colOff>38100</xdr:colOff>
                    <xdr:row>52</xdr:row>
                    <xdr:rowOff>196850</xdr:rowOff>
                  </from>
                  <to>
                    <xdr:col>7</xdr:col>
                    <xdr:colOff>730250</xdr:colOff>
                    <xdr:row>54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67" name="Group Box 152">
              <controlPr defaultSize="0" autoFill="0" autoPict="0">
                <anchor moveWithCells="1">
                  <from>
                    <xdr:col>0</xdr:col>
                    <xdr:colOff>0</xdr:colOff>
                    <xdr:row>16</xdr:row>
                    <xdr:rowOff>114300</xdr:rowOff>
                  </from>
                  <to>
                    <xdr:col>3</xdr:col>
                    <xdr:colOff>25400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68" name="Option Button 153">
              <controlPr defaultSize="0" autoFill="0" autoLine="0" autoPict="0">
                <anchor moveWithCells="1">
                  <from>
                    <xdr:col>0</xdr:col>
                    <xdr:colOff>25400</xdr:colOff>
                    <xdr:row>17</xdr:row>
                    <xdr:rowOff>177800</xdr:rowOff>
                  </from>
                  <to>
                    <xdr:col>1</xdr:col>
                    <xdr:colOff>768350</xdr:colOff>
                    <xdr:row>19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69" name="Option Button 154">
              <controlPr defaultSize="0" autoFill="0" autoLine="0" autoPict="0">
                <anchor moveWithCells="1">
                  <from>
                    <xdr:col>0</xdr:col>
                    <xdr:colOff>25400</xdr:colOff>
                    <xdr:row>18</xdr:row>
                    <xdr:rowOff>177800</xdr:rowOff>
                  </from>
                  <to>
                    <xdr:col>1</xdr:col>
                    <xdr:colOff>768350</xdr:colOff>
                    <xdr:row>20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70" name="Option Button 157">
              <controlPr defaultSize="0" autoFill="0" autoLine="0" autoPict="0">
                <anchor moveWithCells="1">
                  <from>
                    <xdr:col>0</xdr:col>
                    <xdr:colOff>25400</xdr:colOff>
                    <xdr:row>19</xdr:row>
                    <xdr:rowOff>190500</xdr:rowOff>
                  </from>
                  <to>
                    <xdr:col>1</xdr:col>
                    <xdr:colOff>768350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71" name="Group Box 158">
              <controlPr defaultSize="0" autoFill="0" autoPict="0">
                <anchor moveWithCells="1">
                  <from>
                    <xdr:col>0</xdr:col>
                    <xdr:colOff>12700</xdr:colOff>
                    <xdr:row>21</xdr:row>
                    <xdr:rowOff>177800</xdr:rowOff>
                  </from>
                  <to>
                    <xdr:col>3</xdr:col>
                    <xdr:colOff>25400</xdr:colOff>
                    <xdr:row>25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72" name="Option Button 159">
              <controlPr defaultSize="0" autoFill="0" autoLine="0" autoPict="0">
                <anchor moveWithCells="1">
                  <from>
                    <xdr:col>0</xdr:col>
                    <xdr:colOff>25400</xdr:colOff>
                    <xdr:row>22</xdr:row>
                    <xdr:rowOff>190500</xdr:rowOff>
                  </from>
                  <to>
                    <xdr:col>1</xdr:col>
                    <xdr:colOff>762000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73" name="Option Button 160">
              <controlPr defaultSize="0" autoFill="0" autoLine="0" autoPict="0">
                <anchor moveWithCells="1">
                  <from>
                    <xdr:col>0</xdr:col>
                    <xdr:colOff>25400</xdr:colOff>
                    <xdr:row>23</xdr:row>
                    <xdr:rowOff>177800</xdr:rowOff>
                  </from>
                  <to>
                    <xdr:col>1</xdr:col>
                    <xdr:colOff>762000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74" name="Group Box 161">
              <controlPr defaultSize="0" autoFill="0" autoPict="0">
                <anchor moveWithCells="1">
                  <from>
                    <xdr:col>0</xdr:col>
                    <xdr:colOff>0</xdr:colOff>
                    <xdr:row>26</xdr:row>
                    <xdr:rowOff>6350</xdr:rowOff>
                  </from>
                  <to>
                    <xdr:col>3</xdr:col>
                    <xdr:colOff>12700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75" name="Option Button 162">
              <controlPr defaultSize="0" autoFill="0" autoLine="0" autoPict="0">
                <anchor moveWithCells="1">
                  <from>
                    <xdr:col>1</xdr:col>
                    <xdr:colOff>1600200</xdr:colOff>
                    <xdr:row>26</xdr:row>
                    <xdr:rowOff>184150</xdr:rowOff>
                  </from>
                  <to>
                    <xdr:col>2</xdr:col>
                    <xdr:colOff>793750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76" name="Option Button 163">
              <controlPr defaultSize="0" autoFill="0" autoLine="0" autoPict="0">
                <anchor moveWithCells="1">
                  <from>
                    <xdr:col>1</xdr:col>
                    <xdr:colOff>1600200</xdr:colOff>
                    <xdr:row>27</xdr:row>
                    <xdr:rowOff>177800</xdr:rowOff>
                  </from>
                  <to>
                    <xdr:col>2</xdr:col>
                    <xdr:colOff>793750</xdr:colOff>
                    <xdr:row>29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77" name="Option Button 164">
              <controlPr defaultSize="0" autoFill="0" autoLine="0" autoPict="0">
                <anchor moveWithCells="1">
                  <from>
                    <xdr:col>1</xdr:col>
                    <xdr:colOff>1606550</xdr:colOff>
                    <xdr:row>28</xdr:row>
                    <xdr:rowOff>184150</xdr:rowOff>
                  </from>
                  <to>
                    <xdr:col>2</xdr:col>
                    <xdr:colOff>800100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78" name="Option Button 165">
              <controlPr defaultSize="0" autoFill="0" autoLine="0" autoPict="0">
                <anchor moveWithCells="1">
                  <from>
                    <xdr:col>1</xdr:col>
                    <xdr:colOff>1606550</xdr:colOff>
                    <xdr:row>29</xdr:row>
                    <xdr:rowOff>184150</xdr:rowOff>
                  </from>
                  <to>
                    <xdr:col>2</xdr:col>
                    <xdr:colOff>800100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79" name="Option Button 166">
              <controlPr defaultSize="0" autoFill="0" autoLine="0" autoPict="0">
                <anchor moveWithCells="1">
                  <from>
                    <xdr:col>1</xdr:col>
                    <xdr:colOff>1600200</xdr:colOff>
                    <xdr:row>30</xdr:row>
                    <xdr:rowOff>177800</xdr:rowOff>
                  </from>
                  <to>
                    <xdr:col>2</xdr:col>
                    <xdr:colOff>793750</xdr:colOff>
                    <xdr:row>32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80" name="Option Button 167">
              <controlPr defaultSize="0" autoFill="0" autoLine="0" autoPict="0">
                <anchor moveWithCells="1">
                  <from>
                    <xdr:col>1</xdr:col>
                    <xdr:colOff>1600200</xdr:colOff>
                    <xdr:row>31</xdr:row>
                    <xdr:rowOff>177800</xdr:rowOff>
                  </from>
                  <to>
                    <xdr:col>2</xdr:col>
                    <xdr:colOff>793750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81" name="Option Button 168">
              <controlPr defaultSize="0" autoFill="0" autoLine="0" autoPict="0">
                <anchor moveWithCells="1">
                  <from>
                    <xdr:col>1</xdr:col>
                    <xdr:colOff>1593850</xdr:colOff>
                    <xdr:row>32</xdr:row>
                    <xdr:rowOff>184150</xdr:rowOff>
                  </from>
                  <to>
                    <xdr:col>2</xdr:col>
                    <xdr:colOff>787400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82" name="Option Button 169">
              <controlPr defaultSize="0" autoFill="0" autoLine="0" autoPict="0">
                <anchor moveWithCells="1">
                  <from>
                    <xdr:col>1</xdr:col>
                    <xdr:colOff>1593850</xdr:colOff>
                    <xdr:row>33</xdr:row>
                    <xdr:rowOff>190500</xdr:rowOff>
                  </from>
                  <to>
                    <xdr:col>2</xdr:col>
                    <xdr:colOff>787400</xdr:colOff>
                    <xdr:row>35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83" name="Group Box 170">
              <controlPr defaultSize="0" autoFill="0" autoPict="0">
                <anchor moveWithCells="1">
                  <from>
                    <xdr:col>0</xdr:col>
                    <xdr:colOff>6350</xdr:colOff>
                    <xdr:row>35</xdr:row>
                    <xdr:rowOff>190500</xdr:rowOff>
                  </from>
                  <to>
                    <xdr:col>3</xdr:col>
                    <xdr:colOff>25400</xdr:colOff>
                    <xdr:row>39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84" name="Option Button 171">
              <controlPr defaultSize="0" autoFill="0" autoLine="0" autoPict="0">
                <anchor moveWithCells="1">
                  <from>
                    <xdr:col>0</xdr:col>
                    <xdr:colOff>31750</xdr:colOff>
                    <xdr:row>36</xdr:row>
                    <xdr:rowOff>177800</xdr:rowOff>
                  </from>
                  <to>
                    <xdr:col>1</xdr:col>
                    <xdr:colOff>774700</xdr:colOff>
                    <xdr:row>38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85" name="Option Button 172">
              <controlPr defaultSize="0" autoFill="0" autoLine="0" autoPict="0">
                <anchor moveWithCells="1">
                  <from>
                    <xdr:col>0</xdr:col>
                    <xdr:colOff>31750</xdr:colOff>
                    <xdr:row>37</xdr:row>
                    <xdr:rowOff>177800</xdr:rowOff>
                  </from>
                  <to>
                    <xdr:col>1</xdr:col>
                    <xdr:colOff>774700</xdr:colOff>
                    <xdr:row>39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86" name="Group Box 173">
              <controlPr defaultSize="0" autoFill="0" autoPict="0">
                <anchor moveWithCells="1">
                  <from>
                    <xdr:col>0</xdr:col>
                    <xdr:colOff>6350</xdr:colOff>
                    <xdr:row>40</xdr:row>
                    <xdr:rowOff>12700</xdr:rowOff>
                  </from>
                  <to>
                    <xdr:col>3</xdr:col>
                    <xdr:colOff>12700</xdr:colOff>
                    <xdr:row>46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7" name="Option Button 174">
              <controlPr defaultSize="0" autoFill="0" autoLine="0" autoPict="0">
                <anchor moveWithCells="1">
                  <from>
                    <xdr:col>0</xdr:col>
                    <xdr:colOff>25400</xdr:colOff>
                    <xdr:row>40</xdr:row>
                    <xdr:rowOff>190500</xdr:rowOff>
                  </from>
                  <to>
                    <xdr:col>1</xdr:col>
                    <xdr:colOff>768350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88" name="Option Button 175">
              <controlPr defaultSize="0" autoFill="0" autoLine="0" autoPict="0">
                <anchor moveWithCells="1">
                  <from>
                    <xdr:col>0</xdr:col>
                    <xdr:colOff>25400</xdr:colOff>
                    <xdr:row>41</xdr:row>
                    <xdr:rowOff>184150</xdr:rowOff>
                  </from>
                  <to>
                    <xdr:col>1</xdr:col>
                    <xdr:colOff>768350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89" name="Option Button 176">
              <controlPr defaultSize="0" autoFill="0" autoLine="0" autoPict="0">
                <anchor moveWithCells="1">
                  <from>
                    <xdr:col>0</xdr:col>
                    <xdr:colOff>25400</xdr:colOff>
                    <xdr:row>42</xdr:row>
                    <xdr:rowOff>184150</xdr:rowOff>
                  </from>
                  <to>
                    <xdr:col>1</xdr:col>
                    <xdr:colOff>762000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90" name="Option Button 177">
              <controlPr defaultSize="0" autoFill="0" autoLine="0" autoPict="0">
                <anchor moveWithCells="1">
                  <from>
                    <xdr:col>0</xdr:col>
                    <xdr:colOff>25400</xdr:colOff>
                    <xdr:row>43</xdr:row>
                    <xdr:rowOff>190500</xdr:rowOff>
                  </from>
                  <to>
                    <xdr:col>1</xdr:col>
                    <xdr:colOff>762000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91" name="Option Button 178">
              <controlPr defaultSize="0" autoFill="0" autoLine="0" autoPict="0">
                <anchor moveWithCells="1">
                  <from>
                    <xdr:col>0</xdr:col>
                    <xdr:colOff>12700</xdr:colOff>
                    <xdr:row>44</xdr:row>
                    <xdr:rowOff>177800</xdr:rowOff>
                  </from>
                  <to>
                    <xdr:col>1</xdr:col>
                    <xdr:colOff>755650</xdr:colOff>
                    <xdr:row>46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92" name="Group Box 179">
              <controlPr defaultSize="0" autoFill="0" autoPict="0">
                <anchor moveWithCells="1">
                  <from>
                    <xdr:col>0</xdr:col>
                    <xdr:colOff>0</xdr:colOff>
                    <xdr:row>46</xdr:row>
                    <xdr:rowOff>127000</xdr:rowOff>
                  </from>
                  <to>
                    <xdr:col>3</xdr:col>
                    <xdr:colOff>12700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93" name="Check Box 180">
              <controlPr defaultSize="0" autoFill="0" autoLine="0" autoPict="0">
                <anchor moveWithCells="1">
                  <from>
                    <xdr:col>0</xdr:col>
                    <xdr:colOff>25400</xdr:colOff>
                    <xdr:row>47</xdr:row>
                    <xdr:rowOff>177800</xdr:rowOff>
                  </from>
                  <to>
                    <xdr:col>1</xdr:col>
                    <xdr:colOff>723900</xdr:colOff>
                    <xdr:row>49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94" name="Check Box 181">
              <controlPr defaultSize="0" autoFill="0" autoLine="0" autoPict="0">
                <anchor moveWithCells="1">
                  <from>
                    <xdr:col>0</xdr:col>
                    <xdr:colOff>25400</xdr:colOff>
                    <xdr:row>49</xdr:row>
                    <xdr:rowOff>0</xdr:rowOff>
                  </from>
                  <to>
                    <xdr:col>1</xdr:col>
                    <xdr:colOff>723900</xdr:colOff>
                    <xdr:row>50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95" name="Check Box 182">
              <controlPr defaultSize="0" autoFill="0" autoLine="0" autoPict="0">
                <anchor moveWithCells="1">
                  <from>
                    <xdr:col>0</xdr:col>
                    <xdr:colOff>31750</xdr:colOff>
                    <xdr:row>49</xdr:row>
                    <xdr:rowOff>196850</xdr:rowOff>
                  </from>
                  <to>
                    <xdr:col>1</xdr:col>
                    <xdr:colOff>730250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96" name="Group Box 183">
              <controlPr defaultSize="0" autoFill="0" autoPict="0">
                <anchor moveWithCells="1">
                  <from>
                    <xdr:col>17</xdr:col>
                    <xdr:colOff>749300</xdr:colOff>
                    <xdr:row>14</xdr:row>
                    <xdr:rowOff>69850</xdr:rowOff>
                  </from>
                  <to>
                    <xdr:col>21</xdr:col>
                    <xdr:colOff>25400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97" name="Option Button 184">
              <controlPr defaultSize="0" autoFill="0" autoLine="0" autoPict="0">
                <anchor moveWithCells="1">
                  <from>
                    <xdr:col>18</xdr:col>
                    <xdr:colOff>25400</xdr:colOff>
                    <xdr:row>14</xdr:row>
                    <xdr:rowOff>196850</xdr:rowOff>
                  </from>
                  <to>
                    <xdr:col>19</xdr:col>
                    <xdr:colOff>749300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98" name="Option Button 185">
              <controlPr defaultSize="0" autoFill="0" autoLine="0" autoPict="0">
                <anchor moveWithCells="1">
                  <from>
                    <xdr:col>18</xdr:col>
                    <xdr:colOff>12700</xdr:colOff>
                    <xdr:row>16</xdr:row>
                    <xdr:rowOff>0</xdr:rowOff>
                  </from>
                  <to>
                    <xdr:col>19</xdr:col>
                    <xdr:colOff>736600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99" name="Group Box 186">
              <controlPr defaultSize="0" autoFill="0" autoPict="0">
                <anchor moveWithCells="1">
                  <from>
                    <xdr:col>17</xdr:col>
                    <xdr:colOff>749300</xdr:colOff>
                    <xdr:row>17</xdr:row>
                    <xdr:rowOff>139700</xdr:rowOff>
                  </from>
                  <to>
                    <xdr:col>21</xdr:col>
                    <xdr:colOff>25400</xdr:colOff>
                    <xdr:row>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00" name="Option Button 187">
              <controlPr defaultSize="0" autoFill="0" autoLine="0" autoPict="0">
                <anchor moveWithCells="1">
                  <from>
                    <xdr:col>18</xdr:col>
                    <xdr:colOff>25400</xdr:colOff>
                    <xdr:row>18</xdr:row>
                    <xdr:rowOff>196850</xdr:rowOff>
                  </from>
                  <to>
                    <xdr:col>19</xdr:col>
                    <xdr:colOff>749300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01" name="Option Button 188">
              <controlPr defaultSize="0" autoFill="0" autoLine="0" autoPict="0">
                <anchor moveWithCells="1">
                  <from>
                    <xdr:col>18</xdr:col>
                    <xdr:colOff>25400</xdr:colOff>
                    <xdr:row>20</xdr:row>
                    <xdr:rowOff>0</xdr:rowOff>
                  </from>
                  <to>
                    <xdr:col>19</xdr:col>
                    <xdr:colOff>749300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02" name="Option Button 189">
              <controlPr defaultSize="0" autoFill="0" autoLine="0" autoPict="0">
                <anchor moveWithCells="1">
                  <from>
                    <xdr:col>18</xdr:col>
                    <xdr:colOff>25400</xdr:colOff>
                    <xdr:row>20</xdr:row>
                    <xdr:rowOff>190500</xdr:rowOff>
                  </from>
                  <to>
                    <xdr:col>19</xdr:col>
                    <xdr:colOff>749300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03" name="Option Button 191">
              <controlPr defaultSize="0" autoFill="0" autoLine="0" autoPict="0">
                <anchor moveWithCells="1">
                  <from>
                    <xdr:col>18</xdr:col>
                    <xdr:colOff>12700</xdr:colOff>
                    <xdr:row>21</xdr:row>
                    <xdr:rowOff>184150</xdr:rowOff>
                  </from>
                  <to>
                    <xdr:col>19</xdr:col>
                    <xdr:colOff>736600</xdr:colOff>
                    <xdr:row>23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04" name="Group Box 192">
              <controlPr defaultSize="0" autoFill="0" autoPict="0">
                <anchor moveWithCells="1">
                  <from>
                    <xdr:col>17</xdr:col>
                    <xdr:colOff>749300</xdr:colOff>
                    <xdr:row>24</xdr:row>
                    <xdr:rowOff>0</xdr:rowOff>
                  </from>
                  <to>
                    <xdr:col>21</xdr:col>
                    <xdr:colOff>25400</xdr:colOff>
                    <xdr:row>27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05" name="Option Button 193">
              <controlPr defaultSize="0" autoFill="0" autoLine="0" autoPict="0">
                <anchor moveWithCells="1">
                  <from>
                    <xdr:col>18</xdr:col>
                    <xdr:colOff>31750</xdr:colOff>
                    <xdr:row>24</xdr:row>
                    <xdr:rowOff>190500</xdr:rowOff>
                  </from>
                  <to>
                    <xdr:col>19</xdr:col>
                    <xdr:colOff>755650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06" name="Option Button 194">
              <controlPr defaultSize="0" autoFill="0" autoLine="0" autoPict="0">
                <anchor moveWithCells="1">
                  <from>
                    <xdr:col>18</xdr:col>
                    <xdr:colOff>25400</xdr:colOff>
                    <xdr:row>26</xdr:row>
                    <xdr:rowOff>6350</xdr:rowOff>
                  </from>
                  <to>
                    <xdr:col>19</xdr:col>
                    <xdr:colOff>749300</xdr:colOff>
                    <xdr:row>27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07" name="Group Box 195">
              <controlPr defaultSize="0" autoFill="0" autoPict="0">
                <anchor moveWithCells="1">
                  <from>
                    <xdr:col>17</xdr:col>
                    <xdr:colOff>762000</xdr:colOff>
                    <xdr:row>28</xdr:row>
                    <xdr:rowOff>12700</xdr:rowOff>
                  </from>
                  <to>
                    <xdr:col>21</xdr:col>
                    <xdr:colOff>6350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08" name="Option Button 196">
              <controlPr defaultSize="0" autoFill="0" autoLine="0" autoPict="0">
                <anchor moveWithCells="1">
                  <from>
                    <xdr:col>19</xdr:col>
                    <xdr:colOff>1930400</xdr:colOff>
                    <xdr:row>28</xdr:row>
                    <xdr:rowOff>184150</xdr:rowOff>
                  </from>
                  <to>
                    <xdr:col>20</xdr:col>
                    <xdr:colOff>749300</xdr:colOff>
                    <xdr:row>30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09" name="Option Button 197">
              <controlPr defaultSize="0" autoFill="0" autoLine="0" autoPict="0">
                <anchor moveWithCells="1">
                  <from>
                    <xdr:col>19</xdr:col>
                    <xdr:colOff>1930400</xdr:colOff>
                    <xdr:row>29</xdr:row>
                    <xdr:rowOff>196850</xdr:rowOff>
                  </from>
                  <to>
                    <xdr:col>20</xdr:col>
                    <xdr:colOff>736600</xdr:colOff>
                    <xdr:row>31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10" name="Option Button 198">
              <controlPr defaultSize="0" autoFill="0" autoLine="0" autoPict="0">
                <anchor moveWithCells="1">
                  <from>
                    <xdr:col>19</xdr:col>
                    <xdr:colOff>1930400</xdr:colOff>
                    <xdr:row>30</xdr:row>
                    <xdr:rowOff>196850</xdr:rowOff>
                  </from>
                  <to>
                    <xdr:col>20</xdr:col>
                    <xdr:colOff>736600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11" name="Option Button 199">
              <controlPr defaultSize="0" autoFill="0" autoLine="0" autoPict="0">
                <anchor moveWithCells="1">
                  <from>
                    <xdr:col>19</xdr:col>
                    <xdr:colOff>1930400</xdr:colOff>
                    <xdr:row>31</xdr:row>
                    <xdr:rowOff>190500</xdr:rowOff>
                  </from>
                  <to>
                    <xdr:col>20</xdr:col>
                    <xdr:colOff>736600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12" name="Option Button 200">
              <controlPr defaultSize="0" autoFill="0" autoLine="0" autoPict="0">
                <anchor moveWithCells="1">
                  <from>
                    <xdr:col>19</xdr:col>
                    <xdr:colOff>1917700</xdr:colOff>
                    <xdr:row>32</xdr:row>
                    <xdr:rowOff>190500</xdr:rowOff>
                  </from>
                  <to>
                    <xdr:col>20</xdr:col>
                    <xdr:colOff>730250</xdr:colOff>
                    <xdr:row>34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13" name="Option Button 201">
              <controlPr defaultSize="0" autoFill="0" autoLine="0" autoPict="0">
                <anchor moveWithCells="1">
                  <from>
                    <xdr:col>19</xdr:col>
                    <xdr:colOff>1930400</xdr:colOff>
                    <xdr:row>33</xdr:row>
                    <xdr:rowOff>190500</xdr:rowOff>
                  </from>
                  <to>
                    <xdr:col>20</xdr:col>
                    <xdr:colOff>736600</xdr:colOff>
                    <xdr:row>35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14" name="Option Button 202">
              <controlPr defaultSize="0" autoFill="0" autoLine="0" autoPict="0">
                <anchor moveWithCells="1">
                  <from>
                    <xdr:col>19</xdr:col>
                    <xdr:colOff>1930400</xdr:colOff>
                    <xdr:row>35</xdr:row>
                    <xdr:rowOff>0</xdr:rowOff>
                  </from>
                  <to>
                    <xdr:col>20</xdr:col>
                    <xdr:colOff>736600</xdr:colOff>
                    <xdr:row>36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15" name="Option Button 203">
              <controlPr defaultSize="0" autoFill="0" autoLine="0" autoPict="0">
                <anchor moveWithCells="1">
                  <from>
                    <xdr:col>19</xdr:col>
                    <xdr:colOff>1930400</xdr:colOff>
                    <xdr:row>35</xdr:row>
                    <xdr:rowOff>196850</xdr:rowOff>
                  </from>
                  <to>
                    <xdr:col>20</xdr:col>
                    <xdr:colOff>749300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16" name="Group Box 204">
              <controlPr defaultSize="0" autoFill="0" autoPict="0">
                <anchor moveWithCells="1">
                  <from>
                    <xdr:col>17</xdr:col>
                    <xdr:colOff>762000</xdr:colOff>
                    <xdr:row>38</xdr:row>
                    <xdr:rowOff>0</xdr:rowOff>
                  </from>
                  <to>
                    <xdr:col>21</xdr:col>
                    <xdr:colOff>0</xdr:colOff>
                    <xdr:row>42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17" name="Option Button 205">
              <controlPr defaultSize="0" autoFill="0" autoLine="0" autoPict="0">
                <anchor moveWithCells="1">
                  <from>
                    <xdr:col>18</xdr:col>
                    <xdr:colOff>12700</xdr:colOff>
                    <xdr:row>39</xdr:row>
                    <xdr:rowOff>0</xdr:rowOff>
                  </from>
                  <to>
                    <xdr:col>19</xdr:col>
                    <xdr:colOff>736600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18" name="Option Button 206">
              <controlPr defaultSize="0" autoFill="0" autoLine="0" autoPict="0">
                <anchor moveWithCells="1">
                  <from>
                    <xdr:col>18</xdr:col>
                    <xdr:colOff>6350</xdr:colOff>
                    <xdr:row>39</xdr:row>
                    <xdr:rowOff>190500</xdr:rowOff>
                  </from>
                  <to>
                    <xdr:col>19</xdr:col>
                    <xdr:colOff>730250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19" name="Option Button 208">
              <controlPr defaultSize="0" autoFill="0" autoLine="0" autoPict="0">
                <anchor moveWithCells="1">
                  <from>
                    <xdr:col>18</xdr:col>
                    <xdr:colOff>6350</xdr:colOff>
                    <xdr:row>40</xdr:row>
                    <xdr:rowOff>184150</xdr:rowOff>
                  </from>
                  <to>
                    <xdr:col>19</xdr:col>
                    <xdr:colOff>730250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20" name="Group Box 209">
              <controlPr defaultSize="0" autoFill="0" autoPict="0">
                <anchor moveWithCells="1">
                  <from>
                    <xdr:col>17</xdr:col>
                    <xdr:colOff>749300</xdr:colOff>
                    <xdr:row>42</xdr:row>
                    <xdr:rowOff>190500</xdr:rowOff>
                  </from>
                  <to>
                    <xdr:col>21</xdr:col>
                    <xdr:colOff>12700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21" name="Option Button 210">
              <controlPr defaultSize="0" autoFill="0" autoLine="0" autoPict="0">
                <anchor moveWithCells="1">
                  <from>
                    <xdr:col>18</xdr:col>
                    <xdr:colOff>25400</xdr:colOff>
                    <xdr:row>43</xdr:row>
                    <xdr:rowOff>184150</xdr:rowOff>
                  </from>
                  <to>
                    <xdr:col>19</xdr:col>
                    <xdr:colOff>749300</xdr:colOff>
                    <xdr:row>45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22" name="Option Button 211">
              <controlPr defaultSize="0" autoFill="0" autoLine="0" autoPict="0">
                <anchor moveWithCells="1">
                  <from>
                    <xdr:col>18</xdr:col>
                    <xdr:colOff>25400</xdr:colOff>
                    <xdr:row>45</xdr:row>
                    <xdr:rowOff>0</xdr:rowOff>
                  </from>
                  <to>
                    <xdr:col>19</xdr:col>
                    <xdr:colOff>749300</xdr:colOff>
                    <xdr:row>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23" name="Option Button 212">
              <controlPr defaultSize="0" autoFill="0" autoLine="0" autoPict="0">
                <anchor moveWithCells="1">
                  <from>
                    <xdr:col>18</xdr:col>
                    <xdr:colOff>12700</xdr:colOff>
                    <xdr:row>45</xdr:row>
                    <xdr:rowOff>190500</xdr:rowOff>
                  </from>
                  <to>
                    <xdr:col>19</xdr:col>
                    <xdr:colOff>736600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24" name="Option Button 214">
              <controlPr defaultSize="0" autoFill="0" autoLine="0" autoPict="0">
                <anchor moveWithCells="1">
                  <from>
                    <xdr:col>18</xdr:col>
                    <xdr:colOff>12700</xdr:colOff>
                    <xdr:row>46</xdr:row>
                    <xdr:rowOff>196850</xdr:rowOff>
                  </from>
                  <to>
                    <xdr:col>19</xdr:col>
                    <xdr:colOff>736600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25" name="Group Box 215">
              <controlPr defaultSize="0" autoFill="0" autoPict="0">
                <anchor moveWithCells="1">
                  <from>
                    <xdr:col>18</xdr:col>
                    <xdr:colOff>0</xdr:colOff>
                    <xdr:row>48</xdr:row>
                    <xdr:rowOff>177800</xdr:rowOff>
                  </from>
                  <to>
                    <xdr:col>21</xdr:col>
                    <xdr:colOff>25400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26" name="Check Box 216">
              <controlPr defaultSize="0" autoFill="0" autoLine="0" autoPict="0">
                <anchor moveWithCells="1">
                  <from>
                    <xdr:col>18</xdr:col>
                    <xdr:colOff>31750</xdr:colOff>
                    <xdr:row>49</xdr:row>
                    <xdr:rowOff>190500</xdr:rowOff>
                  </from>
                  <to>
                    <xdr:col>19</xdr:col>
                    <xdr:colOff>717550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27" name="Check Box 217">
              <controlPr defaultSize="0" autoFill="0" autoLine="0" autoPict="0">
                <anchor moveWithCells="1">
                  <from>
                    <xdr:col>18</xdr:col>
                    <xdr:colOff>31750</xdr:colOff>
                    <xdr:row>50</xdr:row>
                    <xdr:rowOff>190500</xdr:rowOff>
                  </from>
                  <to>
                    <xdr:col>19</xdr:col>
                    <xdr:colOff>723900</xdr:colOff>
                    <xdr:row>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28" name="Check Box 218">
              <controlPr defaultSize="0" autoFill="0" autoLine="0" autoPict="0">
                <anchor moveWithCells="1">
                  <from>
                    <xdr:col>18</xdr:col>
                    <xdr:colOff>25400</xdr:colOff>
                    <xdr:row>51</xdr:row>
                    <xdr:rowOff>190500</xdr:rowOff>
                  </from>
                  <to>
                    <xdr:col>19</xdr:col>
                    <xdr:colOff>717550</xdr:colOff>
                    <xdr:row>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29" name="Check Box 219">
              <controlPr defaultSize="0" autoFill="0" autoLine="0" autoPict="0">
                <anchor moveWithCells="1">
                  <from>
                    <xdr:col>18</xdr:col>
                    <xdr:colOff>25400</xdr:colOff>
                    <xdr:row>52</xdr:row>
                    <xdr:rowOff>190500</xdr:rowOff>
                  </from>
                  <to>
                    <xdr:col>19</xdr:col>
                    <xdr:colOff>717550</xdr:colOff>
                    <xdr:row>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30" name="Check Box 220">
              <controlPr defaultSize="0" autoFill="0" autoLine="0" autoPict="0">
                <anchor moveWithCells="1">
                  <from>
                    <xdr:col>18</xdr:col>
                    <xdr:colOff>25400</xdr:colOff>
                    <xdr:row>54</xdr:row>
                    <xdr:rowOff>0</xdr:rowOff>
                  </from>
                  <to>
                    <xdr:col>19</xdr:col>
                    <xdr:colOff>711200</xdr:colOff>
                    <xdr:row>55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31" name="Check Box 221">
              <controlPr defaultSize="0" autoFill="0" autoLine="0" autoPict="0">
                <anchor moveWithCells="1">
                  <from>
                    <xdr:col>18</xdr:col>
                    <xdr:colOff>25400</xdr:colOff>
                    <xdr:row>54</xdr:row>
                    <xdr:rowOff>196850</xdr:rowOff>
                  </from>
                  <to>
                    <xdr:col>19</xdr:col>
                    <xdr:colOff>711200</xdr:colOff>
                    <xdr:row>56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32" name="Check Box 222">
              <controlPr defaultSize="0" autoFill="0" autoLine="0" autoPict="0">
                <anchor moveWithCells="1">
                  <from>
                    <xdr:col>18</xdr:col>
                    <xdr:colOff>25400</xdr:colOff>
                    <xdr:row>56</xdr:row>
                    <xdr:rowOff>0</xdr:rowOff>
                  </from>
                  <to>
                    <xdr:col>19</xdr:col>
                    <xdr:colOff>711200</xdr:colOff>
                    <xdr:row>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33" name="Drop Down 224">
              <controlPr defaultSize="0" autoLine="0" autoPict="0">
                <anchor moveWithCells="1">
                  <from>
                    <xdr:col>1</xdr:col>
                    <xdr:colOff>44450</xdr:colOff>
                    <xdr:row>57</xdr:row>
                    <xdr:rowOff>31750</xdr:rowOff>
                  </from>
                  <to>
                    <xdr:col>2</xdr:col>
                    <xdr:colOff>914400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34" name="Drop Down 226">
              <controlPr defaultSize="0" autoLine="0" autoPict="0">
                <anchor moveWithCells="1">
                  <from>
                    <xdr:col>7</xdr:col>
                    <xdr:colOff>44450</xdr:colOff>
                    <xdr:row>59</xdr:row>
                    <xdr:rowOff>101600</xdr:rowOff>
                  </from>
                  <to>
                    <xdr:col>8</xdr:col>
                    <xdr:colOff>1016000</xdr:colOff>
                    <xdr:row>63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35" name="Drop Down 227">
              <controlPr defaultSize="0" autoLine="0" autoPict="0">
                <anchor moveWithCells="1">
                  <from>
                    <xdr:col>13</xdr:col>
                    <xdr:colOff>25400</xdr:colOff>
                    <xdr:row>60</xdr:row>
                    <xdr:rowOff>31750</xdr:rowOff>
                  </from>
                  <to>
                    <xdr:col>14</xdr:col>
                    <xdr:colOff>1098550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36" name="Drop Down 228">
              <controlPr defaultSize="0" autoLine="0" autoPict="0">
                <anchor moveWithCells="1">
                  <from>
                    <xdr:col>19</xdr:col>
                    <xdr:colOff>25400</xdr:colOff>
                    <xdr:row>63</xdr:row>
                    <xdr:rowOff>31750</xdr:rowOff>
                  </from>
                  <to>
                    <xdr:col>20</xdr:col>
                    <xdr:colOff>1060450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37" name="Group Box 231">
              <controlPr defaultSize="0" autoFill="0" autoPict="0">
                <anchor moveWithCells="1">
                  <from>
                    <xdr:col>0</xdr:col>
                    <xdr:colOff>139700</xdr:colOff>
                    <xdr:row>67</xdr:row>
                    <xdr:rowOff>88900</xdr:rowOff>
                  </from>
                  <to>
                    <xdr:col>5</xdr:col>
                    <xdr:colOff>44450</xdr:colOff>
                    <xdr:row>74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38" name="Option Button 232">
              <controlPr defaultSize="0" autoFill="0" autoLine="0" autoPict="0">
                <anchor moveWithCells="1">
                  <from>
                    <xdr:col>1</xdr:col>
                    <xdr:colOff>1473200</xdr:colOff>
                    <xdr:row>68</xdr:row>
                    <xdr:rowOff>184150</xdr:rowOff>
                  </from>
                  <to>
                    <xdr:col>2</xdr:col>
                    <xdr:colOff>673100</xdr:colOff>
                    <xdr:row>70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39" name="Option Button 233">
              <controlPr defaultSize="0" autoFill="0" autoLine="0" autoPict="0">
                <anchor moveWithCells="1">
                  <from>
                    <xdr:col>1</xdr:col>
                    <xdr:colOff>1473200</xdr:colOff>
                    <xdr:row>70</xdr:row>
                    <xdr:rowOff>6350</xdr:rowOff>
                  </from>
                  <to>
                    <xdr:col>2</xdr:col>
                    <xdr:colOff>673100</xdr:colOff>
                    <xdr:row>71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40" name="Option Button 234">
              <controlPr defaultSize="0" autoFill="0" autoLine="0" autoPict="0">
                <anchor moveWithCells="1">
                  <from>
                    <xdr:col>1</xdr:col>
                    <xdr:colOff>1479550</xdr:colOff>
                    <xdr:row>71</xdr:row>
                    <xdr:rowOff>12700</xdr:rowOff>
                  </from>
                  <to>
                    <xdr:col>2</xdr:col>
                    <xdr:colOff>673100</xdr:colOff>
                    <xdr:row>72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41" name="Option Button 235">
              <controlPr defaultSize="0" autoFill="0" autoLine="0" autoPict="0">
                <anchor moveWithCells="1">
                  <from>
                    <xdr:col>1</xdr:col>
                    <xdr:colOff>1479550</xdr:colOff>
                    <xdr:row>72</xdr:row>
                    <xdr:rowOff>12700</xdr:rowOff>
                  </from>
                  <to>
                    <xdr:col>2</xdr:col>
                    <xdr:colOff>673100</xdr:colOff>
                    <xdr:row>73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42" name="Option Button 236">
              <controlPr defaultSize="0" autoFill="0" autoLine="0" autoPict="0">
                <anchor moveWithCells="1">
                  <from>
                    <xdr:col>1</xdr:col>
                    <xdr:colOff>1479550</xdr:colOff>
                    <xdr:row>73</xdr:row>
                    <xdr:rowOff>6350</xdr:rowOff>
                  </from>
                  <to>
                    <xdr:col>2</xdr:col>
                    <xdr:colOff>673100</xdr:colOff>
                    <xdr:row>74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43" name="Option Button 240">
              <controlPr defaultSize="0" autoFill="0" autoLine="0" autoPict="0">
                <anchor moveWithCells="1">
                  <from>
                    <xdr:col>0</xdr:col>
                    <xdr:colOff>25400</xdr:colOff>
                    <xdr:row>42</xdr:row>
                    <xdr:rowOff>184150</xdr:rowOff>
                  </from>
                  <to>
                    <xdr:col>1</xdr:col>
                    <xdr:colOff>768350</xdr:colOff>
                    <xdr:row>44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44" name="Option Button 241">
              <controlPr defaultSize="0" autoFill="0" autoLine="0" autoPict="0">
                <anchor moveWithCells="1">
                  <from>
                    <xdr:col>6</xdr:col>
                    <xdr:colOff>44450</xdr:colOff>
                    <xdr:row>21</xdr:row>
                    <xdr:rowOff>0</xdr:rowOff>
                  </from>
                  <to>
                    <xdr:col>7</xdr:col>
                    <xdr:colOff>787400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45" name="Button 242">
              <controlPr defaultSize="0" print="0" autoFill="0" autoPict="0" macro="[0]!Czyść">
                <anchor moveWithCells="1" sizeWithCells="1">
                  <from>
                    <xdr:col>1</xdr:col>
                    <xdr:colOff>44450</xdr:colOff>
                    <xdr:row>62</xdr:row>
                    <xdr:rowOff>12700</xdr:rowOff>
                  </from>
                  <to>
                    <xdr:col>2</xdr:col>
                    <xdr:colOff>908050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46" name="Button 243">
              <controlPr defaultSize="0" print="0" autoFill="0" autoPict="0" macro="[0]!Czyść">
                <anchor moveWithCells="1" sizeWithCells="1">
                  <from>
                    <xdr:col>7</xdr:col>
                    <xdr:colOff>120650</xdr:colOff>
                    <xdr:row>64</xdr:row>
                    <xdr:rowOff>19050</xdr:rowOff>
                  </from>
                  <to>
                    <xdr:col>8</xdr:col>
                    <xdr:colOff>882650</xdr:colOff>
                    <xdr:row>66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47" name="Button 244">
              <controlPr defaultSize="0" print="0" autoFill="0" autoPict="0" macro="[0]!Czyść">
                <anchor moveWithCells="1" sizeWithCells="1">
                  <from>
                    <xdr:col>13</xdr:col>
                    <xdr:colOff>292100</xdr:colOff>
                    <xdr:row>65</xdr:row>
                    <xdr:rowOff>0</xdr:rowOff>
                  </from>
                  <to>
                    <xdr:col>14</xdr:col>
                    <xdr:colOff>800100</xdr:colOff>
                    <xdr:row>66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48" name="Button 245">
              <controlPr defaultSize="0" print="0" autoFill="0" autoPict="0" macro="[0]!Czyść">
                <anchor moveWithCells="1" sizeWithCells="1">
                  <from>
                    <xdr:col>19</xdr:col>
                    <xdr:colOff>419100</xdr:colOff>
                    <xdr:row>68</xdr:row>
                    <xdr:rowOff>31750</xdr:rowOff>
                  </from>
                  <to>
                    <xdr:col>20</xdr:col>
                    <xdr:colOff>920750</xdr:colOff>
                    <xdr:row>70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898C-79C1-5147-BB24-5F9D50971130}">
  <sheetPr codeName="Arkusz2"/>
  <dimension ref="A4:H64"/>
  <sheetViews>
    <sheetView topLeftCell="A13" zoomScale="115" zoomScaleNormal="115" workbookViewId="0">
      <selection activeCell="L66" sqref="L66"/>
    </sheetView>
  </sheetViews>
  <sheetFormatPr defaultColWidth="10.6640625" defaultRowHeight="15.5" x14ac:dyDescent="0.35"/>
  <cols>
    <col min="1" max="1" width="25" customWidth="1"/>
    <col min="3" max="3" width="12.5" bestFit="1" customWidth="1"/>
    <col min="5" max="5" width="10.83203125" customWidth="1"/>
    <col min="7" max="7" width="25.4140625" customWidth="1"/>
  </cols>
  <sheetData>
    <row r="4" spans="1:7" x14ac:dyDescent="0.35">
      <c r="A4" s="22" t="s">
        <v>54</v>
      </c>
      <c r="B4" s="22"/>
      <c r="C4" s="22"/>
    </row>
    <row r="5" spans="1:7" x14ac:dyDescent="0.35">
      <c r="A5" t="s">
        <v>3</v>
      </c>
      <c r="C5" s="12">
        <f>IF(B5=1,0,IF(B5=2,12000,26700))</f>
        <v>26700</v>
      </c>
    </row>
    <row r="6" spans="1:7" x14ac:dyDescent="0.35">
      <c r="A6" t="s">
        <v>7</v>
      </c>
      <c r="C6" s="12">
        <f>IF(B6=1,0,31000)</f>
        <v>31000</v>
      </c>
      <c r="G6" t="s">
        <v>62</v>
      </c>
    </row>
    <row r="7" spans="1:7" x14ac:dyDescent="0.35">
      <c r="A7" t="s">
        <v>8</v>
      </c>
      <c r="C7" s="12">
        <f>IF(B7=1,0,IF(B7=7,6350,IF(B7=8,4900,3400)))</f>
        <v>3400</v>
      </c>
      <c r="G7" t="s">
        <v>59</v>
      </c>
    </row>
    <row r="8" spans="1:7" x14ac:dyDescent="0.35">
      <c r="A8" t="s">
        <v>17</v>
      </c>
      <c r="C8" s="12">
        <f>IF(B8=1,0,3150)</f>
        <v>3150</v>
      </c>
      <c r="G8" t="s">
        <v>60</v>
      </c>
    </row>
    <row r="9" spans="1:7" x14ac:dyDescent="0.35">
      <c r="A9" t="s">
        <v>19</v>
      </c>
      <c r="C9" s="12">
        <f>IF(B9=1,0,IF(B9=2,7500,IF(B9=3,8500,IF(B9=4,8800,10700))))</f>
        <v>10700</v>
      </c>
      <c r="G9" t="s">
        <v>61</v>
      </c>
    </row>
    <row r="10" spans="1:7" x14ac:dyDescent="0.35">
      <c r="A10" s="22" t="s">
        <v>22</v>
      </c>
      <c r="B10" s="22"/>
      <c r="C10" s="22"/>
      <c r="G10" t="s">
        <v>63</v>
      </c>
    </row>
    <row r="11" spans="1:7" x14ac:dyDescent="0.35">
      <c r="A11" t="s">
        <v>25</v>
      </c>
      <c r="C11" s="12">
        <f>IF(B11=FALSE,0,1850)</f>
        <v>0</v>
      </c>
      <c r="G11" t="s">
        <v>64</v>
      </c>
    </row>
    <row r="12" spans="1:7" x14ac:dyDescent="0.35">
      <c r="A12" t="s">
        <v>23</v>
      </c>
      <c r="C12" s="12">
        <f>IF(B12=FALSE,0,4700)</f>
        <v>0</v>
      </c>
    </row>
    <row r="13" spans="1:7" x14ac:dyDescent="0.35">
      <c r="A13" t="s">
        <v>24</v>
      </c>
      <c r="C13" s="12">
        <f>IF(B13=FALSE,0,1440)</f>
        <v>0</v>
      </c>
    </row>
    <row r="17" spans="1:8" x14ac:dyDescent="0.35">
      <c r="A17" s="22" t="s">
        <v>55</v>
      </c>
      <c r="B17" s="22"/>
      <c r="C17" s="22"/>
    </row>
    <row r="18" spans="1:8" x14ac:dyDescent="0.35">
      <c r="A18" t="s">
        <v>3</v>
      </c>
      <c r="C18" s="12">
        <f>IF(B18=1,0,IF(B18=2,12000,IF(B18=3,33000,79000)))</f>
        <v>79000</v>
      </c>
      <c r="G18" t="s">
        <v>69</v>
      </c>
      <c r="H18" t="s">
        <v>75</v>
      </c>
    </row>
    <row r="19" spans="1:8" x14ac:dyDescent="0.35">
      <c r="A19" t="s">
        <v>7</v>
      </c>
      <c r="C19" s="12">
        <f>IF(B19=1,0,46000)</f>
        <v>46000</v>
      </c>
      <c r="G19" t="s">
        <v>70</v>
      </c>
      <c r="H19" t="s">
        <v>55</v>
      </c>
    </row>
    <row r="20" spans="1:8" x14ac:dyDescent="0.35">
      <c r="A20" t="s">
        <v>8</v>
      </c>
      <c r="C20" s="12">
        <f>IF(B20=1,0,IF(B20=7,6350,4200))</f>
        <v>4200</v>
      </c>
      <c r="G20" t="s">
        <v>71</v>
      </c>
      <c r="H20" t="s">
        <v>54</v>
      </c>
    </row>
    <row r="21" spans="1:8" x14ac:dyDescent="0.35">
      <c r="A21" t="s">
        <v>17</v>
      </c>
      <c r="C21" s="12">
        <f>IF(B21=1,0,4700)</f>
        <v>4700</v>
      </c>
      <c r="G21" t="s">
        <v>72</v>
      </c>
      <c r="H21" t="s">
        <v>75</v>
      </c>
    </row>
    <row r="22" spans="1:8" x14ac:dyDescent="0.35">
      <c r="A22" t="s">
        <v>19</v>
      </c>
      <c r="C22" s="12">
        <f>IF(B22=1,0,IF(B22=2,0,IF(B22=3,7500,8200)))</f>
        <v>8200</v>
      </c>
      <c r="G22" t="s">
        <v>73</v>
      </c>
      <c r="H22" t="s">
        <v>55</v>
      </c>
    </row>
    <row r="23" spans="1:8" x14ac:dyDescent="0.35">
      <c r="A23" s="22" t="s">
        <v>22</v>
      </c>
      <c r="B23" s="22"/>
      <c r="C23" s="22"/>
    </row>
    <row r="24" spans="1:8" x14ac:dyDescent="0.35">
      <c r="A24" t="s">
        <v>25</v>
      </c>
      <c r="C24" s="12">
        <f>IF(B24=FALSE,0,1850)</f>
        <v>0</v>
      </c>
    </row>
    <row r="25" spans="1:8" x14ac:dyDescent="0.35">
      <c r="A25" t="s">
        <v>23</v>
      </c>
      <c r="C25" s="12">
        <f>IF(B25=FALSE,0,3500)</f>
        <v>0</v>
      </c>
    </row>
    <row r="26" spans="1:8" x14ac:dyDescent="0.35">
      <c r="A26" t="s">
        <v>24</v>
      </c>
      <c r="C26" s="12">
        <f>IF(B26=FALSE,0,2270)</f>
        <v>0</v>
      </c>
    </row>
    <row r="27" spans="1:8" x14ac:dyDescent="0.35">
      <c r="A27" t="s">
        <v>37</v>
      </c>
      <c r="C27" s="12">
        <f>IF(B27=FALSE,0,6200)</f>
        <v>0</v>
      </c>
    </row>
    <row r="28" spans="1:8" x14ac:dyDescent="0.35">
      <c r="A28" t="s">
        <v>38</v>
      </c>
      <c r="C28" s="12">
        <f>IF(B28=FALSE,0,3300)</f>
        <v>0</v>
      </c>
    </row>
    <row r="29" spans="1:8" x14ac:dyDescent="0.35">
      <c r="A29" t="s">
        <v>39</v>
      </c>
      <c r="C29" s="12">
        <f>IF(B29=FALSE,0,5720)</f>
        <v>0</v>
      </c>
    </row>
    <row r="33" spans="1:3" x14ac:dyDescent="0.35">
      <c r="A33" s="22" t="s">
        <v>43</v>
      </c>
      <c r="B33" s="22"/>
      <c r="C33" s="22"/>
    </row>
    <row r="34" spans="1:3" x14ac:dyDescent="0.35">
      <c r="A34" t="s">
        <v>3</v>
      </c>
      <c r="C34" s="12">
        <f>IF(B34=1,0,29000)</f>
        <v>29000</v>
      </c>
    </row>
    <row r="35" spans="1:3" x14ac:dyDescent="0.35">
      <c r="A35" t="s">
        <v>7</v>
      </c>
      <c r="C35" s="12">
        <f>IF(B35=1,0,117000)</f>
        <v>117000</v>
      </c>
    </row>
    <row r="36" spans="1:3" x14ac:dyDescent="0.35">
      <c r="A36" t="s">
        <v>8</v>
      </c>
      <c r="C36" s="12">
        <f>IF(B36=1,0,4250)</f>
        <v>4250</v>
      </c>
    </row>
    <row r="37" spans="1:3" x14ac:dyDescent="0.35">
      <c r="A37" t="s">
        <v>17</v>
      </c>
      <c r="C37" s="12">
        <f>IF(B37=1,0,IF(B37=2,3700,9300))</f>
        <v>9300</v>
      </c>
    </row>
    <row r="38" spans="1:3" x14ac:dyDescent="0.35">
      <c r="A38" t="s">
        <v>19</v>
      </c>
      <c r="C38" s="12">
        <f>IF(B38=1,0,IF(B38=2,0,IF(B38=3,1900,13200)))</f>
        <v>13200</v>
      </c>
    </row>
    <row r="39" spans="1:3" x14ac:dyDescent="0.35">
      <c r="A39" s="22" t="s">
        <v>22</v>
      </c>
      <c r="B39" s="22"/>
      <c r="C39" s="22"/>
    </row>
    <row r="40" spans="1:3" x14ac:dyDescent="0.35">
      <c r="A40" t="s">
        <v>25</v>
      </c>
      <c r="C40" s="12">
        <f>IF(B40=FALSE,0,1850)</f>
        <v>0</v>
      </c>
    </row>
    <row r="41" spans="1:3" x14ac:dyDescent="0.35">
      <c r="A41" t="s">
        <v>23</v>
      </c>
      <c r="C41" s="12">
        <f>IF(B41=FALSE,0,3500)</f>
        <v>0</v>
      </c>
    </row>
    <row r="42" spans="1:3" x14ac:dyDescent="0.35">
      <c r="A42" t="s">
        <v>24</v>
      </c>
      <c r="C42" s="12">
        <f>IF(B42=FALSE,0,1450)</f>
        <v>0</v>
      </c>
    </row>
    <row r="43" spans="1:3" x14ac:dyDescent="0.35">
      <c r="A43" t="s">
        <v>37</v>
      </c>
      <c r="C43" s="12">
        <f>IF(B43=FALSE,0,6200)</f>
        <v>0</v>
      </c>
    </row>
    <row r="44" spans="1:3" x14ac:dyDescent="0.35">
      <c r="A44" t="s">
        <v>38</v>
      </c>
      <c r="C44" s="12">
        <f>IF(B44=FALSE,0,3300)</f>
        <v>0</v>
      </c>
    </row>
    <row r="45" spans="1:3" x14ac:dyDescent="0.35">
      <c r="A45" t="s">
        <v>39</v>
      </c>
      <c r="C45" s="12">
        <f>IF(B45=FALSE,0,5720)</f>
        <v>0</v>
      </c>
    </row>
    <row r="46" spans="1:3" x14ac:dyDescent="0.35">
      <c r="A46" t="s">
        <v>44</v>
      </c>
      <c r="C46" s="12">
        <f>IF(B46=FALSE,0,6550)</f>
        <v>0</v>
      </c>
    </row>
    <row r="50" spans="1:3" x14ac:dyDescent="0.35">
      <c r="A50" s="22" t="s">
        <v>57</v>
      </c>
      <c r="B50" s="22"/>
      <c r="C50" s="22"/>
    </row>
    <row r="51" spans="1:3" x14ac:dyDescent="0.35">
      <c r="A51" t="s">
        <v>58</v>
      </c>
      <c r="C51" s="12">
        <f>IF(B51=1,173900,Katalog!U16+60000)</f>
        <v>233900</v>
      </c>
    </row>
    <row r="52" spans="1:3" x14ac:dyDescent="0.35">
      <c r="A52" t="s">
        <v>3</v>
      </c>
      <c r="C52" s="12">
        <f>IF(B52=1,0,IF(B52=2,15000,IF(B52=3,37000,77000)))</f>
        <v>77000</v>
      </c>
    </row>
    <row r="53" spans="1:3" x14ac:dyDescent="0.35">
      <c r="A53" t="s">
        <v>7</v>
      </c>
      <c r="C53" s="12">
        <f>IF(B53=1,0,72000)</f>
        <v>72000</v>
      </c>
    </row>
    <row r="54" spans="1:3" x14ac:dyDescent="0.35">
      <c r="A54" t="s">
        <v>8</v>
      </c>
      <c r="C54" s="12">
        <f>IF(B54=1,0,4250)</f>
        <v>4250</v>
      </c>
    </row>
    <row r="55" spans="1:3" x14ac:dyDescent="0.35">
      <c r="A55" t="s">
        <v>17</v>
      </c>
      <c r="C55" s="12">
        <f>IF(B55=1,0,IF(B55=2,3700,7300))</f>
        <v>7300</v>
      </c>
    </row>
    <row r="56" spans="1:3" x14ac:dyDescent="0.35">
      <c r="A56" t="s">
        <v>19</v>
      </c>
      <c r="C56" s="12">
        <f>IF(B56=1,0,IF(B56=2,0,IF(B56=3,8500,8500)))</f>
        <v>8500</v>
      </c>
    </row>
    <row r="57" spans="1:3" x14ac:dyDescent="0.35">
      <c r="A57" s="22" t="s">
        <v>22</v>
      </c>
      <c r="B57" s="22"/>
      <c r="C57" s="22"/>
    </row>
    <row r="58" spans="1:3" x14ac:dyDescent="0.35">
      <c r="A58" t="s">
        <v>25</v>
      </c>
      <c r="C58" s="12">
        <f>IF(B58=FALSE,0,1850)</f>
        <v>0</v>
      </c>
    </row>
    <row r="59" spans="1:3" x14ac:dyDescent="0.35">
      <c r="A59" t="s">
        <v>23</v>
      </c>
      <c r="C59" s="12">
        <f>IF(B59=FALSE,0,3500)</f>
        <v>0</v>
      </c>
    </row>
    <row r="60" spans="1:3" x14ac:dyDescent="0.35">
      <c r="A60" t="s">
        <v>24</v>
      </c>
      <c r="C60" s="12">
        <f>IF(B60=FALSE,0,1450)</f>
        <v>0</v>
      </c>
    </row>
    <row r="61" spans="1:3" x14ac:dyDescent="0.35">
      <c r="A61" t="s">
        <v>37</v>
      </c>
      <c r="C61" s="12">
        <f>IF(B61=FALSE,0,6200)</f>
        <v>0</v>
      </c>
    </row>
    <row r="62" spans="1:3" x14ac:dyDescent="0.35">
      <c r="A62" t="s">
        <v>38</v>
      </c>
      <c r="C62" s="12">
        <f>IF(B62=FALSE,0,3300)</f>
        <v>0</v>
      </c>
    </row>
    <row r="63" spans="1:3" x14ac:dyDescent="0.35">
      <c r="A63" t="s">
        <v>39</v>
      </c>
      <c r="C63" s="12">
        <f>IF(B63=FALSE,0,5720)</f>
        <v>0</v>
      </c>
    </row>
    <row r="64" spans="1:3" x14ac:dyDescent="0.35">
      <c r="A64" t="s">
        <v>40</v>
      </c>
      <c r="C64" s="12">
        <f>IF(B64=FALSE,0,5000)</f>
        <v>0</v>
      </c>
    </row>
  </sheetData>
  <mergeCells count="8">
    <mergeCell ref="A50:C50"/>
    <mergeCell ref="A57:C57"/>
    <mergeCell ref="A10:C10"/>
    <mergeCell ref="A4:C4"/>
    <mergeCell ref="A17:C17"/>
    <mergeCell ref="A23:C23"/>
    <mergeCell ref="A33:C33"/>
    <mergeCell ref="A39:C3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Katalog</vt:lpstr>
      <vt:lpstr>Konfigurator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Skorupski</dc:creator>
  <cp:lastModifiedBy>Krzysztof Skorupski</cp:lastModifiedBy>
  <dcterms:created xsi:type="dcterms:W3CDTF">2022-12-12T16:50:50Z</dcterms:created>
  <dcterms:modified xsi:type="dcterms:W3CDTF">2022-12-15T20:16:33Z</dcterms:modified>
</cp:coreProperties>
</file>